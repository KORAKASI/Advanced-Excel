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kasio\Downloads\"/>
    </mc:Choice>
  </mc:AlternateContent>
  <xr:revisionPtr revIDLastSave="0" documentId="13_ncr:1_{CB4A20F7-AFBF-41CB-A1CD-A10245B6920C}" xr6:coauthVersionLast="47" xr6:coauthVersionMax="47" xr10:uidLastSave="{00000000-0000-0000-0000-000000000000}"/>
  <bookViews>
    <workbookView xWindow="-110" yWindow="-110" windowWidth="19420" windowHeight="10300" activeTab="2" xr2:uid="{00000000-000D-0000-FFFF-FFFF00000000}"/>
  </bookViews>
  <sheets>
    <sheet name="Data" sheetId="1" r:id="rId1"/>
    <sheet name="Pivot_Table" sheetId="8" r:id="rId2"/>
    <sheet name="Dashboard" sheetId="13" r:id="rId3"/>
  </sheets>
  <definedNames>
    <definedName name="_xlnm._FilterDatabase" localSheetId="0" hidden="1">Data!$A$1:$L$61</definedName>
    <definedName name="Slicer_Category">#N/A</definedName>
    <definedName name="Slicer_City">#N/A</definedName>
    <definedName name="Slicer_Months__Order_Date">#N/A</definedName>
    <definedName name="Slicer_Payment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alcChain>
</file>

<file path=xl/sharedStrings.xml><?xml version="1.0" encoding="utf-8"?>
<sst xmlns="http://schemas.openxmlformats.org/spreadsheetml/2006/main" count="352" uniqueCount="139">
  <si>
    <t>Order ID</t>
  </si>
  <si>
    <t>Order Date</t>
  </si>
  <si>
    <t>Customer Name</t>
  </si>
  <si>
    <t>City</t>
  </si>
  <si>
    <t>Product Name</t>
  </si>
  <si>
    <t>Unit Price</t>
  </si>
  <si>
    <t>Quantity</t>
  </si>
  <si>
    <t>Payment Mode</t>
  </si>
  <si>
    <t>Discount %</t>
  </si>
  <si>
    <t>Profit</t>
  </si>
  <si>
    <t>Rahul Sharma</t>
  </si>
  <si>
    <t>Hyderabad</t>
  </si>
  <si>
    <t>Electronics</t>
  </si>
  <si>
    <t>Wireless Mouse</t>
  </si>
  <si>
    <t>UPI</t>
  </si>
  <si>
    <t>Delivered</t>
  </si>
  <si>
    <t>Pooja Verma</t>
  </si>
  <si>
    <t>Bangalore</t>
  </si>
  <si>
    <t>Keyboard</t>
  </si>
  <si>
    <t>COD</t>
  </si>
  <si>
    <t>Amit Singh</t>
  </si>
  <si>
    <t>Delhi</t>
  </si>
  <si>
    <t>Fashion</t>
  </si>
  <si>
    <t>Sports Shoes</t>
  </si>
  <si>
    <t>Card</t>
  </si>
  <si>
    <t>Komal Jain</t>
  </si>
  <si>
    <t>Mumbai</t>
  </si>
  <si>
    <t>Home Decor</t>
  </si>
  <si>
    <t>Table Lamp</t>
  </si>
  <si>
    <t>Suresh Rao</t>
  </si>
  <si>
    <t>Pune</t>
  </si>
  <si>
    <t>Earbuds</t>
  </si>
  <si>
    <t>Returned</t>
  </si>
  <si>
    <t>Riya Gupta</t>
  </si>
  <si>
    <t>Kolkata</t>
  </si>
  <si>
    <t>Power Bank</t>
  </si>
  <si>
    <t>Karan Mehta</t>
  </si>
  <si>
    <t>Chennai</t>
  </si>
  <si>
    <t>Men T-Shirt</t>
  </si>
  <si>
    <t>Deepak Kumar</t>
  </si>
  <si>
    <t>Wall Clock</t>
  </si>
  <si>
    <t>Nikita Sharma</t>
  </si>
  <si>
    <t>Handbag</t>
  </si>
  <si>
    <t>Vishal Singh</t>
  </si>
  <si>
    <t>Smartwatch</t>
  </si>
  <si>
    <t>Cancelled</t>
  </si>
  <si>
    <t>Harsh Patel</t>
  </si>
  <si>
    <t>Bedside Lamp</t>
  </si>
  <si>
    <t>Aisha Khan</t>
  </si>
  <si>
    <t>USB Cable</t>
  </si>
  <si>
    <t>Anjali Rao</t>
  </si>
  <si>
    <t>Kurti</t>
  </si>
  <si>
    <t>Parth Shah</t>
  </si>
  <si>
    <t>Bluetooth Speaker</t>
  </si>
  <si>
    <t>Mohit Jain</t>
  </si>
  <si>
    <t>Flower Vase</t>
  </si>
  <si>
    <t>Kritika Sen</t>
  </si>
  <si>
    <t>Saree</t>
  </si>
  <si>
    <t>Sumit Roy</t>
  </si>
  <si>
    <t>Phone Cover</t>
  </si>
  <si>
    <t>Priya Mehta</t>
  </si>
  <si>
    <t>Webcam</t>
  </si>
  <si>
    <t>Rohit Sharma</t>
  </si>
  <si>
    <t>Jeans</t>
  </si>
  <si>
    <t>Nisha Agarwal</t>
  </si>
  <si>
    <t>Candle Set</t>
  </si>
  <si>
    <t>Arjun Gupta</t>
  </si>
  <si>
    <t>Earphones</t>
  </si>
  <si>
    <t>Mansi Shah</t>
  </si>
  <si>
    <t>Top</t>
  </si>
  <si>
    <t>Kunal Verma</t>
  </si>
  <si>
    <t>Curtains</t>
  </si>
  <si>
    <t>Ankit Patel</t>
  </si>
  <si>
    <t>Jacket</t>
  </si>
  <si>
    <t>Sweta Singh</t>
  </si>
  <si>
    <t>Trimmer</t>
  </si>
  <si>
    <t>Vikas Rao</t>
  </si>
  <si>
    <t>Charger</t>
  </si>
  <si>
    <t>Divya Nair</t>
  </si>
  <si>
    <t>Earrings</t>
  </si>
  <si>
    <t>Akash Jain</t>
  </si>
  <si>
    <t>Cushion Cover</t>
  </si>
  <si>
    <t>Megha Sharma</t>
  </si>
  <si>
    <t>Monitor</t>
  </si>
  <si>
    <t>Rajeev Kumar</t>
  </si>
  <si>
    <t>Router</t>
  </si>
  <si>
    <t>Shruti Singh</t>
  </si>
  <si>
    <t>Sandals</t>
  </si>
  <si>
    <t>Harish Kumar</t>
  </si>
  <si>
    <t>Doormat</t>
  </si>
  <si>
    <t>Roshni Patel</t>
  </si>
  <si>
    <t>LED Bulb</t>
  </si>
  <si>
    <t>Ananya Mehra</t>
  </si>
  <si>
    <t>Shirt</t>
  </si>
  <si>
    <t>Samir Gupta</t>
  </si>
  <si>
    <t>Showpiece</t>
  </si>
  <si>
    <t>Kavya Sharma</t>
  </si>
  <si>
    <t>Printer</t>
  </si>
  <si>
    <t>Nitin Rao</t>
  </si>
  <si>
    <t>Shorts</t>
  </si>
  <si>
    <t>Muskan Jain</t>
  </si>
  <si>
    <t>Table Mat</t>
  </si>
  <si>
    <t>Shivam Singh</t>
  </si>
  <si>
    <t>Tablet</t>
  </si>
  <si>
    <t>Aryan Patel</t>
  </si>
  <si>
    <t>Watch</t>
  </si>
  <si>
    <t>Reema Gupta</t>
  </si>
  <si>
    <t>Plant Pot</t>
  </si>
  <si>
    <t>Sachin Verma</t>
  </si>
  <si>
    <t>Headphones</t>
  </si>
  <si>
    <t>Naina Shah</t>
  </si>
  <si>
    <t>Scarf</t>
  </si>
  <si>
    <t>Manish Kumar</t>
  </si>
  <si>
    <t>Photo Frame</t>
  </si>
  <si>
    <t>Neha Singh</t>
  </si>
  <si>
    <t>Laptop Stand</t>
  </si>
  <si>
    <t>Aayush Jain</t>
  </si>
  <si>
    <t>Formal Shoes</t>
  </si>
  <si>
    <t>Ritika Roy</t>
  </si>
  <si>
    <t>LED Strip</t>
  </si>
  <si>
    <t>Jay Shah</t>
  </si>
  <si>
    <t>Camera</t>
  </si>
  <si>
    <t>Mona Rao</t>
  </si>
  <si>
    <t>Leggings</t>
  </si>
  <si>
    <t>Sunny Kumar</t>
  </si>
  <si>
    <t>Mirror</t>
  </si>
  <si>
    <t>Category</t>
  </si>
  <si>
    <t xml:space="preserve"> Order Status</t>
  </si>
  <si>
    <t>Total Sales</t>
  </si>
  <si>
    <t>Row Labels</t>
  </si>
  <si>
    <t>Grand Total</t>
  </si>
  <si>
    <t>Sum of Total Sales</t>
  </si>
  <si>
    <t>Average of Total Sales</t>
  </si>
  <si>
    <t>Sum of Discount %</t>
  </si>
  <si>
    <t>Count of Quantity</t>
  </si>
  <si>
    <t>Column Labels</t>
  </si>
  <si>
    <t>E-Commerce Dashboard</t>
  </si>
  <si>
    <t>Feb</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</si>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</sst>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entury Gothic"/>
      <family val="2"/>
      <scheme val="minor"/>
    </font>
    <font>
      <b/>
      <sz val="11"/>
      <color theme="1"/>
      <name val="Century Gothic"/>
      <family val="2"/>
      <scheme val="minor"/>
    </font>
    <font>
      <b/>
      <sz val="11"/>
      <color theme="1"/>
      <name val="Times New Roman"/>
      <family val="1"/>
    </font>
    <font>
      <sz val="11"/>
      <color theme="1"/>
      <name val="Times New Roman"/>
      <family val="1"/>
    </font>
    <font>
      <b/>
      <sz val="55"/>
      <color rgb="FF9933FF"/>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14" fontId="3" fillId="0" borderId="0" xfId="0" applyNumberFormat="1" applyFont="1"/>
    <xf numFmtId="0" fontId="0" fillId="0" borderId="0" xfId="0" pivotButton="1"/>
    <xf numFmtId="0" fontId="0" fillId="0" borderId="0" xfId="0" applyAlignment="1">
      <alignment horizontal="left"/>
    </xf>
    <xf numFmtId="0" fontId="4" fillId="0" borderId="0" xfId="0" applyFont="1" applyAlignment="1">
      <alignment horizontal="center" vertical="center"/>
    </xf>
    <xf numFmtId="0" fontId="0" fillId="0" borderId="0" xfId="0" applyNumberFormat="1"/>
  </cellXfs>
  <cellStyles count="1">
    <cellStyle name="Normal" xfId="0" builtinId="0"/>
  </cellStyles>
  <dxfs count="17">
    <dxf>
      <border>
        <left style="thin">
          <color rgb="FF9C0006"/>
        </left>
        <right style="thin">
          <color rgb="FF9C0006"/>
        </right>
        <top style="thin">
          <color rgb="FF9C0006"/>
        </top>
        <bottom style="thin">
          <color rgb="FF9C0006"/>
        </bottom>
      </border>
    </dxf>
    <dxf>
      <font>
        <color rgb="FF9C0006"/>
      </font>
      <fill>
        <patternFill>
          <bgColor rgb="FFFFC7CE"/>
        </patternFill>
      </fill>
    </dxf>
    <dxf>
      <font>
        <b val="0"/>
        <i val="0"/>
        <strike val="0"/>
        <condense val="0"/>
        <extend val="0"/>
        <outline val="0"/>
        <shadow val="0"/>
        <u val="none"/>
        <vertAlign val="baseline"/>
        <sz val="11"/>
        <color theme="1"/>
        <name val="Times New Roman"/>
        <family val="1"/>
        <scheme val="none"/>
      </font>
      <numFmt numFmtId="0" formatCode="General"/>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numFmt numFmtId="19" formatCode="dd/mm/yyyy"/>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i val="0"/>
        <strike val="0"/>
        <condense val="0"/>
        <extend val="0"/>
        <outline val="0"/>
        <shadow val="0"/>
        <u val="none"/>
        <vertAlign val="baseline"/>
        <sz val="11"/>
        <color theme="1"/>
        <name val="Times New Roman"/>
        <family val="1"/>
        <scheme val="none"/>
      </font>
    </dxf>
  </dxfs>
  <tableStyles count="0" defaultTableStyle="TableStyleMedium2" defaultPivotStyle="PivotStyleLight16"/>
  <colors>
    <mruColors>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of Total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13000" sy="113000" algn="ctr" rotWithShape="0">
              <a:prstClr val="black">
                <a:alpha val="20000"/>
              </a:prstClr>
            </a:outerShdw>
          </a:effectLst>
        </c:spPr>
        <c:dLbl>
          <c:idx val="0"/>
          <c:layout>
            <c:manualLayout>
              <c:x val="-2.7777777777778798E-3"/>
              <c:y val="-0.111111111111111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10000" sy="110000" algn="ctr" rotWithShape="0">
              <a:prstClr val="black">
                <a:alpha val="11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Pivot_Table!$C$3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D4-40B0-8503-43831EB371B7}"/>
              </c:ext>
            </c:extLst>
          </c:dPt>
          <c:dPt>
            <c:idx val="1"/>
            <c:bubble3D val="0"/>
            <c:spPr>
              <a:solidFill>
                <a:schemeClr val="accent3"/>
              </a:solidFill>
              <a:ln>
                <a:noFill/>
              </a:ln>
              <a:effectLst>
                <a:outerShdw blurRad="254000" sx="110000" sy="110000" algn="ctr" rotWithShape="0">
                  <a:prstClr val="black">
                    <a:alpha val="11000"/>
                  </a:prstClr>
                </a:outerShdw>
              </a:effectLst>
            </c:spPr>
            <c:extLst>
              <c:ext xmlns:c16="http://schemas.microsoft.com/office/drawing/2014/chart" uri="{C3380CC4-5D6E-409C-BE32-E72D297353CC}">
                <c16:uniqueId val="{00000003-F5D4-40B0-8503-43831EB371B7}"/>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5D4-40B0-8503-43831EB371B7}"/>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Pivot_Table!$B$4:$B$6</c:f>
              <c:strCache>
                <c:ptCount val="2"/>
                <c:pt idx="0">
                  <c:v>Fashion</c:v>
                </c:pt>
                <c:pt idx="1">
                  <c:v>Home Decor</c:v>
                </c:pt>
              </c:strCache>
            </c:strRef>
          </c:cat>
          <c:val>
            <c:numRef>
              <c:f>Pivot_Table!$C$4:$C$6</c:f>
              <c:numCache>
                <c:formatCode>General</c:formatCode>
                <c:ptCount val="2"/>
                <c:pt idx="0">
                  <c:v>1078.5999999999999</c:v>
                </c:pt>
                <c:pt idx="1">
                  <c:v>1797.4285714285713</c:v>
                </c:pt>
              </c:numCache>
            </c:numRef>
          </c:val>
          <c:extLst>
            <c:ext xmlns:c16="http://schemas.microsoft.com/office/drawing/2014/chart" uri="{C3380CC4-5D6E-409C-BE32-E72D297353CC}">
              <c16:uniqueId val="{00000006-F5D4-40B0-8503-43831EB371B7}"/>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7028149606299214"/>
          <c:y val="0.34160724701079032"/>
          <c:w val="0.29916294838145224"/>
          <c:h val="0.3709518081073199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[Dashboard.xlsx]Pivot_Table!PivotTable3</c:name>
    <c:fmtId val="3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by Payment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38100" dist="1270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Pivot_Table!$G$3</c:f>
              <c:strCache>
                <c:ptCount val="1"/>
                <c:pt idx="0">
                  <c:v>Total</c:v>
                </c:pt>
              </c:strCache>
            </c:strRef>
          </c:tx>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38100" dist="12700" dir="5400000" algn="ctr" rotWithShape="0">
                <a:srgbClr val="000000">
                  <a:alpha val="63000"/>
                </a:srgbClr>
              </a:outerShdw>
            </a:effectLst>
          </c:spPr>
          <c:invertIfNegative val="0"/>
          <c:cat>
            <c:strRef>
              <c:f>Pivot_Table!$F$4:$F$7</c:f>
              <c:strCache>
                <c:ptCount val="3"/>
                <c:pt idx="0">
                  <c:v>Card</c:v>
                </c:pt>
                <c:pt idx="1">
                  <c:v>COD</c:v>
                </c:pt>
                <c:pt idx="2">
                  <c:v>UPI</c:v>
                </c:pt>
              </c:strCache>
            </c:strRef>
          </c:cat>
          <c:val>
            <c:numRef>
              <c:f>Pivot_Table!$G$4:$G$7</c:f>
              <c:numCache>
                <c:formatCode>General</c:formatCode>
                <c:ptCount val="3"/>
                <c:pt idx="0">
                  <c:v>1995</c:v>
                </c:pt>
                <c:pt idx="1">
                  <c:v>1398.1666666666667</c:v>
                </c:pt>
                <c:pt idx="2">
                  <c:v>1518.2</c:v>
                </c:pt>
              </c:numCache>
            </c:numRef>
          </c:val>
          <c:extLst>
            <c:ext xmlns:c16="http://schemas.microsoft.com/office/drawing/2014/chart" uri="{C3380CC4-5D6E-409C-BE32-E72D297353CC}">
              <c16:uniqueId val="{00000000-A0B8-4DD1-96F9-0C334B99371C}"/>
            </c:ext>
          </c:extLst>
        </c:ser>
        <c:dLbls>
          <c:showLegendKey val="0"/>
          <c:showVal val="0"/>
          <c:showCatName val="0"/>
          <c:showSerName val="0"/>
          <c:showPercent val="0"/>
          <c:showBubbleSize val="0"/>
        </c:dLbls>
        <c:gapWidth val="100"/>
        <c:overlap val="-24"/>
        <c:axId val="1311887056"/>
        <c:axId val="1311887536"/>
      </c:barChart>
      <c:catAx>
        <c:axId val="13118870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1887536"/>
        <c:crosses val="autoZero"/>
        <c:auto val="1"/>
        <c:lblAlgn val="ctr"/>
        <c:lblOffset val="100"/>
        <c:noMultiLvlLbl val="0"/>
      </c:catAx>
      <c:valAx>
        <c:axId val="13118875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188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[Dashboard.xlsx]Pivot_Table!PivotTable2</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Sales</a:t>
            </a:r>
            <a:r>
              <a:rPr lang="en-US" baseline="0"/>
              <a:t> by City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Pivot_Table!$C$11</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457E-478E-B68D-68C4D7513960}"/>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57E-478E-B68D-68C4D7513960}"/>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457E-478E-B68D-68C4D7513960}"/>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457E-478E-B68D-68C4D7513960}"/>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457E-478E-B68D-68C4D7513960}"/>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457E-478E-B68D-68C4D7513960}"/>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457E-478E-B68D-68C4D751396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Pivot_Table!$B$12:$B$15</c:f>
              <c:strCache>
                <c:ptCount val="3"/>
                <c:pt idx="0">
                  <c:v>Hyderabad</c:v>
                </c:pt>
                <c:pt idx="1">
                  <c:v>Kolkata</c:v>
                </c:pt>
                <c:pt idx="2">
                  <c:v>Mumbai</c:v>
                </c:pt>
              </c:strCache>
            </c:strRef>
          </c:cat>
          <c:val>
            <c:numRef>
              <c:f>Pivot_Table!$C$12:$C$15</c:f>
              <c:numCache>
                <c:formatCode>General</c:formatCode>
                <c:ptCount val="3"/>
                <c:pt idx="0">
                  <c:v>6392</c:v>
                </c:pt>
                <c:pt idx="1">
                  <c:v>1596</c:v>
                </c:pt>
                <c:pt idx="2">
                  <c:v>9987</c:v>
                </c:pt>
              </c:numCache>
            </c:numRef>
          </c:val>
          <c:extLst>
            <c:ext xmlns:c16="http://schemas.microsoft.com/office/drawing/2014/chart" uri="{C3380CC4-5D6E-409C-BE32-E72D297353CC}">
              <c16:uniqueId val="{0000000E-457E-478E-B68D-68C4D7513960}"/>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[Dashboard.xlsx]Pivot_Table!PivotTable4</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Quantity</a:t>
            </a:r>
            <a:r>
              <a:rPr lang="en-US" baseline="0"/>
              <a:t> of Orders by City</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4"/>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Pivot_Table!$G$11</c:f>
              <c:strCache>
                <c:ptCount val="1"/>
                <c:pt idx="0">
                  <c:v>Total</c:v>
                </c:pt>
              </c:strCache>
            </c:strRef>
          </c:tx>
          <c:spPr>
            <a:ln w="38100" cap="rnd">
              <a:solidFill>
                <a:schemeClr val="accent4"/>
              </a:solidFill>
              <a:round/>
            </a:ln>
            <a:effectLst/>
          </c:spPr>
          <c:marker>
            <c:symbol val="circle"/>
            <c:size val="8"/>
            <c:spPr>
              <a:solidFill>
                <a:schemeClr val="accent4"/>
              </a:solidFill>
              <a:ln>
                <a:noFill/>
              </a:ln>
              <a:effectLst/>
            </c:spPr>
          </c:marker>
          <c:cat>
            <c:strRef>
              <c:f>Pivot_Table!$F$12:$F$15</c:f>
              <c:strCache>
                <c:ptCount val="3"/>
                <c:pt idx="0">
                  <c:v>Hyderabad</c:v>
                </c:pt>
                <c:pt idx="1">
                  <c:v>Kolkata</c:v>
                </c:pt>
                <c:pt idx="2">
                  <c:v>Mumbai</c:v>
                </c:pt>
              </c:strCache>
            </c:strRef>
          </c:cat>
          <c:val>
            <c:numRef>
              <c:f>Pivot_Table!$G$12:$G$15</c:f>
              <c:numCache>
                <c:formatCode>General</c:formatCode>
                <c:ptCount val="3"/>
                <c:pt idx="0">
                  <c:v>4</c:v>
                </c:pt>
                <c:pt idx="1">
                  <c:v>2</c:v>
                </c:pt>
                <c:pt idx="2">
                  <c:v>6</c:v>
                </c:pt>
              </c:numCache>
            </c:numRef>
          </c:val>
          <c:smooth val="0"/>
          <c:extLst>
            <c:ext xmlns:c16="http://schemas.microsoft.com/office/drawing/2014/chart" uri="{C3380CC4-5D6E-409C-BE32-E72D297353CC}">
              <c16:uniqueId val="{00000000-1127-4D89-8F63-840BBFCBECD1}"/>
            </c:ext>
          </c:extLst>
        </c:ser>
        <c:dLbls>
          <c:showLegendKey val="0"/>
          <c:showVal val="0"/>
          <c:showCatName val="0"/>
          <c:showSerName val="0"/>
          <c:showPercent val="0"/>
          <c:showBubbleSize val="0"/>
        </c:dLbls>
        <c:marker val="1"/>
        <c:smooth val="0"/>
        <c:axId val="1311849136"/>
        <c:axId val="1311849616"/>
      </c:lineChart>
      <c:catAx>
        <c:axId val="131184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11849616"/>
        <c:crosses val="autoZero"/>
        <c:auto val="1"/>
        <c:lblAlgn val="ctr"/>
        <c:lblOffset val="100"/>
        <c:noMultiLvlLbl val="0"/>
      </c:catAx>
      <c:valAx>
        <c:axId val="13118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49136"/>
        <c:crosses val="autoZero"/>
        <c:crossBetween val="between"/>
      </c:valAx>
      <c:spPr>
        <a:noFill/>
        <a:ln>
          <a:noFill/>
        </a:ln>
        <a:effectLst/>
      </c:spPr>
    </c:plotArea>
    <c:legend>
      <c:legendPos val="b"/>
      <c:layout>
        <c:manualLayout>
          <c:xMode val="edge"/>
          <c:yMode val="edge"/>
          <c:x val="0.82199892470835978"/>
          <c:y val="4.2393474058123617E-2"/>
          <c:w val="0.12759478368664576"/>
          <c:h val="7.13232635996416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[Dashboard.xlsx]Pivot_Table!PivotTable5</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t>Average Sales by Months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Pivot_Table!$J$11</c:f>
              <c:strCache>
                <c:ptCount val="1"/>
                <c:pt idx="0">
                  <c:v>Total</c:v>
                </c:pt>
              </c:strCache>
            </c:strRef>
          </c:tx>
          <c:spPr>
            <a:pattFill prst="narVert">
              <a:fgClr>
                <a:schemeClr val="accent5"/>
              </a:fgClr>
              <a:bgClr>
                <a:schemeClr val="accent5">
                  <a:lumMod val="20000"/>
                  <a:lumOff val="80000"/>
                </a:schemeClr>
              </a:bgClr>
            </a:pattFill>
            <a:ln>
              <a:noFill/>
            </a:ln>
            <a:effectLst>
              <a:innerShdw blurRad="114300">
                <a:schemeClr val="accent5"/>
              </a:innerShdw>
            </a:effectLst>
          </c:spPr>
          <c:invertIfNegative val="0"/>
          <c:cat>
            <c:strRef>
              <c:f>Pivot_Table!$I$12:$I$14</c:f>
              <c:strCache>
                <c:ptCount val="2"/>
                <c:pt idx="0">
                  <c:v>Jan</c:v>
                </c:pt>
                <c:pt idx="1">
                  <c:v>Feb</c:v>
                </c:pt>
              </c:strCache>
            </c:strRef>
          </c:cat>
          <c:val>
            <c:numRef>
              <c:f>Pivot_Table!$J$12:$J$14</c:f>
              <c:numCache>
                <c:formatCode>General</c:formatCode>
                <c:ptCount val="2"/>
                <c:pt idx="0">
                  <c:v>1669.5714285714287</c:v>
                </c:pt>
                <c:pt idx="1">
                  <c:v>1257.5999999999999</c:v>
                </c:pt>
              </c:numCache>
            </c:numRef>
          </c:val>
          <c:extLst>
            <c:ext xmlns:c16="http://schemas.microsoft.com/office/drawing/2014/chart" uri="{C3380CC4-5D6E-409C-BE32-E72D297353CC}">
              <c16:uniqueId val="{00000000-CFC7-4F14-891F-5F655A98E3C7}"/>
            </c:ext>
          </c:extLst>
        </c:ser>
        <c:dLbls>
          <c:showLegendKey val="0"/>
          <c:showVal val="0"/>
          <c:showCatName val="0"/>
          <c:showSerName val="0"/>
          <c:showPercent val="0"/>
          <c:showBubbleSize val="0"/>
        </c:dLbls>
        <c:gapWidth val="227"/>
        <c:overlap val="-48"/>
        <c:axId val="1311875056"/>
        <c:axId val="1311875536"/>
      </c:barChart>
      <c:catAx>
        <c:axId val="131187505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75536"/>
        <c:crosses val="autoZero"/>
        <c:auto val="1"/>
        <c:lblAlgn val="ctr"/>
        <c:lblOffset val="100"/>
        <c:noMultiLvlLbl val="0"/>
      </c:catAx>
      <c:valAx>
        <c:axId val="131187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7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[Dashboard.xlsx]Pivot_Table!PivotTable11</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Pivot_Table!$J$18:$J$19</c:f>
              <c:strCache>
                <c:ptCount val="1"/>
                <c:pt idx="0">
                  <c:v>Card</c:v>
                </c:pt>
              </c:strCache>
            </c:strRef>
          </c:tx>
          <c:spPr>
            <a:solidFill>
              <a:schemeClr val="accent1"/>
            </a:solidFill>
            <a:ln w="19050">
              <a:solidFill>
                <a:schemeClr val="lt1"/>
              </a:solidFill>
            </a:ln>
            <a:effectLst/>
          </c:spPr>
          <c:invertIfNegative val="0"/>
          <c:cat>
            <c:strRef>
              <c:f>Pivot_Table!$I$20:$I$22</c:f>
              <c:strCache>
                <c:ptCount val="2"/>
                <c:pt idx="0">
                  <c:v>Fashion</c:v>
                </c:pt>
                <c:pt idx="1">
                  <c:v>Home Decor</c:v>
                </c:pt>
              </c:strCache>
            </c:strRef>
          </c:cat>
          <c:val>
            <c:numRef>
              <c:f>Pivot_Table!$J$20:$J$22</c:f>
              <c:numCache>
                <c:formatCode>General</c:formatCode>
                <c:ptCount val="2"/>
                <c:pt idx="1">
                  <c:v>0</c:v>
                </c:pt>
              </c:numCache>
            </c:numRef>
          </c:val>
          <c:extLst>
            <c:ext xmlns:c16="http://schemas.microsoft.com/office/drawing/2014/chart" uri="{C3380CC4-5D6E-409C-BE32-E72D297353CC}">
              <c16:uniqueId val="{00000000-4C79-4299-9E89-F8D5EBE24103}"/>
            </c:ext>
          </c:extLst>
        </c:ser>
        <c:ser>
          <c:idx val="1"/>
          <c:order val="1"/>
          <c:tx>
            <c:strRef>
              <c:f>Pivot_Table!$K$18:$K$19</c:f>
              <c:strCache>
                <c:ptCount val="1"/>
                <c:pt idx="0">
                  <c:v>COD</c:v>
                </c:pt>
              </c:strCache>
            </c:strRef>
          </c:tx>
          <c:spPr>
            <a:solidFill>
              <a:schemeClr val="accent2"/>
            </a:solidFill>
            <a:ln w="19050">
              <a:solidFill>
                <a:schemeClr val="lt1"/>
              </a:solidFill>
            </a:ln>
            <a:effectLst/>
          </c:spPr>
          <c:invertIfNegative val="0"/>
          <c:cat>
            <c:strRef>
              <c:f>Pivot_Table!$I$20:$I$22</c:f>
              <c:strCache>
                <c:ptCount val="2"/>
                <c:pt idx="0">
                  <c:v>Fashion</c:v>
                </c:pt>
                <c:pt idx="1">
                  <c:v>Home Decor</c:v>
                </c:pt>
              </c:strCache>
            </c:strRef>
          </c:cat>
          <c:val>
            <c:numRef>
              <c:f>Pivot_Table!$K$20:$K$22</c:f>
              <c:numCache>
                <c:formatCode>General</c:formatCode>
                <c:ptCount val="2"/>
                <c:pt idx="0">
                  <c:v>0</c:v>
                </c:pt>
                <c:pt idx="1">
                  <c:v>10</c:v>
                </c:pt>
              </c:numCache>
            </c:numRef>
          </c:val>
          <c:extLst>
            <c:ext xmlns:c16="http://schemas.microsoft.com/office/drawing/2014/chart" uri="{C3380CC4-5D6E-409C-BE32-E72D297353CC}">
              <c16:uniqueId val="{00000003-6B81-4168-8259-61DC67D36A99}"/>
            </c:ext>
          </c:extLst>
        </c:ser>
        <c:ser>
          <c:idx val="2"/>
          <c:order val="2"/>
          <c:tx>
            <c:strRef>
              <c:f>Pivot_Table!$L$18:$L$19</c:f>
              <c:strCache>
                <c:ptCount val="1"/>
                <c:pt idx="0">
                  <c:v>UPI</c:v>
                </c:pt>
              </c:strCache>
            </c:strRef>
          </c:tx>
          <c:spPr>
            <a:solidFill>
              <a:schemeClr val="accent3"/>
            </a:solidFill>
            <a:ln w="19050">
              <a:solidFill>
                <a:schemeClr val="lt1"/>
              </a:solidFill>
            </a:ln>
            <a:effectLst/>
          </c:spPr>
          <c:invertIfNegative val="0"/>
          <c:cat>
            <c:strRef>
              <c:f>Pivot_Table!$I$20:$I$22</c:f>
              <c:strCache>
                <c:ptCount val="2"/>
                <c:pt idx="0">
                  <c:v>Fashion</c:v>
                </c:pt>
                <c:pt idx="1">
                  <c:v>Home Decor</c:v>
                </c:pt>
              </c:strCache>
            </c:strRef>
          </c:cat>
          <c:val>
            <c:numRef>
              <c:f>Pivot_Table!$L$20:$L$22</c:f>
              <c:numCache>
                <c:formatCode>General</c:formatCode>
                <c:ptCount val="2"/>
                <c:pt idx="0">
                  <c:v>0</c:v>
                </c:pt>
                <c:pt idx="1">
                  <c:v>10</c:v>
                </c:pt>
              </c:numCache>
            </c:numRef>
          </c:val>
          <c:extLst>
            <c:ext xmlns:c16="http://schemas.microsoft.com/office/drawing/2014/chart" uri="{C3380CC4-5D6E-409C-BE32-E72D297353CC}">
              <c16:uniqueId val="{00000004-6B81-4168-8259-61DC67D36A99}"/>
            </c:ext>
          </c:extLst>
        </c:ser>
        <c:dLbls>
          <c:showLegendKey val="0"/>
          <c:showVal val="0"/>
          <c:showCatName val="0"/>
          <c:showSerName val="0"/>
          <c:showPercent val="0"/>
          <c:showBubbleSize val="0"/>
        </c:dLbls>
        <c:gapWidth val="150"/>
        <c:axId val="1472124208"/>
        <c:axId val="1472120848"/>
      </c:barChart>
      <c:catAx>
        <c:axId val="147212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120848"/>
        <c:crosses val="autoZero"/>
        <c:auto val="1"/>
        <c:lblAlgn val="ctr"/>
        <c:lblOffset val="100"/>
        <c:noMultiLvlLbl val="0"/>
      </c:catAx>
      <c:valAx>
        <c:axId val="147212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12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66842</xdr:colOff>
      <xdr:row>7</xdr:row>
      <xdr:rowOff>133683</xdr:rowOff>
    </xdr:from>
    <xdr:to>
      <xdr:col>13</xdr:col>
      <xdr:colOff>133683</xdr:colOff>
      <xdr:row>24</xdr:row>
      <xdr:rowOff>133684</xdr:rowOff>
    </xdr:to>
    <xdr:graphicFrame macro="">
      <xdr:nvGraphicFramePr>
        <xdr:cNvPr id="2" name="Chart 1">
          <a:extLst>
            <a:ext uri="{FF2B5EF4-FFF2-40B4-BE49-F238E27FC236}">
              <a16:creationId xmlns:a16="http://schemas.microsoft.com/office/drawing/2014/main" id="{F7D58469-A1C8-405A-B181-6ACFBE0BD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116973</xdr:colOff>
      <xdr:row>26</xdr:row>
      <xdr:rowOff>150395</xdr:rowOff>
    </xdr:from>
    <xdr:to>
      <xdr:col>13</xdr:col>
      <xdr:colOff>192171</xdr:colOff>
      <xdr:row>43</xdr:row>
      <xdr:rowOff>58486</xdr:rowOff>
    </xdr:to>
    <xdr:graphicFrame macro="">
      <xdr:nvGraphicFramePr>
        <xdr:cNvPr id="5" name="Chart 4">
          <a:extLst>
            <a:ext uri="{FF2B5EF4-FFF2-40B4-BE49-F238E27FC236}">
              <a16:creationId xmlns:a16="http://schemas.microsoft.com/office/drawing/2014/main" id="{36A4D045-6961-4991-A344-0F7F36DC5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275723</xdr:colOff>
      <xdr:row>7</xdr:row>
      <xdr:rowOff>116972</xdr:rowOff>
    </xdr:from>
    <xdr:to>
      <xdr:col>22</xdr:col>
      <xdr:colOff>484604</xdr:colOff>
      <xdr:row>24</xdr:row>
      <xdr:rowOff>100262</xdr:rowOff>
    </xdr:to>
    <xdr:graphicFrame macro="">
      <xdr:nvGraphicFramePr>
        <xdr:cNvPr id="6" name="Chart 5">
          <a:extLst>
            <a:ext uri="{FF2B5EF4-FFF2-40B4-BE49-F238E27FC236}">
              <a16:creationId xmlns:a16="http://schemas.microsoft.com/office/drawing/2014/main" id="{3E731A4B-7CDB-4DE2-9367-5965AD4E2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254209</xdr:colOff>
      <xdr:row>26</xdr:row>
      <xdr:rowOff>43051</xdr:rowOff>
    </xdr:from>
    <xdr:to>
      <xdr:col>22</xdr:col>
      <xdr:colOff>490988</xdr:colOff>
      <xdr:row>43</xdr:row>
      <xdr:rowOff>139915</xdr:rowOff>
    </xdr:to>
    <xdr:graphicFrame macro="">
      <xdr:nvGraphicFramePr>
        <xdr:cNvPr id="7" name="Chart 6">
          <a:extLst>
            <a:ext uri="{FF2B5EF4-FFF2-40B4-BE49-F238E27FC236}">
              <a16:creationId xmlns:a16="http://schemas.microsoft.com/office/drawing/2014/main" id="{03436179-0781-4F64-BB88-29C3FA588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276085</xdr:colOff>
      <xdr:row>7</xdr:row>
      <xdr:rowOff>101231</xdr:rowOff>
    </xdr:from>
    <xdr:to>
      <xdr:col>31</xdr:col>
      <xdr:colOff>0</xdr:colOff>
      <xdr:row>24</xdr:row>
      <xdr:rowOff>92028</xdr:rowOff>
    </xdr:to>
    <xdr:graphicFrame macro="">
      <xdr:nvGraphicFramePr>
        <xdr:cNvPr id="8" name="Chart 7">
          <a:extLst>
            <a:ext uri="{FF2B5EF4-FFF2-40B4-BE49-F238E27FC236}">
              <a16:creationId xmlns:a16="http://schemas.microsoft.com/office/drawing/2014/main" id="{7FA43D26-1298-44F5-AD13-CB64D64C7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266882</xdr:colOff>
      <xdr:row>26</xdr:row>
      <xdr:rowOff>36811</xdr:rowOff>
    </xdr:from>
    <xdr:to>
      <xdr:col>31</xdr:col>
      <xdr:colOff>0</xdr:colOff>
      <xdr:row>44</xdr:row>
      <xdr:rowOff>55217</xdr:rowOff>
    </xdr:to>
    <xdr:graphicFrame macro="">
      <xdr:nvGraphicFramePr>
        <xdr:cNvPr id="9" name="Chart 8">
          <a:extLst>
            <a:ext uri="{FF2B5EF4-FFF2-40B4-BE49-F238E27FC236}">
              <a16:creationId xmlns:a16="http://schemas.microsoft.com/office/drawing/2014/main" id="{ACB5E0A2-FF57-4ADA-8187-57E2841EE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161572</xdr:colOff>
      <xdr:row>21</xdr:row>
      <xdr:rowOff>142354</xdr:rowOff>
    </xdr:from>
    <xdr:to>
      <xdr:col>4</xdr:col>
      <xdr:colOff>22243</xdr:colOff>
      <xdr:row>36</xdr:row>
      <xdr:rowOff>77983</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1D97CF72-0F67-AEA8-BBA1-F9359AD7FE4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18853" y="3885512"/>
              <a:ext cx="1832513" cy="2609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143934</xdr:colOff>
      <xdr:row>7</xdr:row>
      <xdr:rowOff>112890</xdr:rowOff>
    </xdr:from>
    <xdr:to>
      <xdr:col>4</xdr:col>
      <xdr:colOff>4605</xdr:colOff>
      <xdr:row>15</xdr:row>
      <xdr:rowOff>105835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DF9AE2B-FFE8-62D6-DAED-E27F8078C6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1215" y="1360609"/>
              <a:ext cx="1832513" cy="1418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185090</xdr:colOff>
      <xdr:row>36</xdr:row>
      <xdr:rowOff>130529</xdr:rowOff>
    </xdr:from>
    <xdr:to>
      <xdr:col>4</xdr:col>
      <xdr:colOff>45761</xdr:colOff>
      <xdr:row>44</xdr:row>
      <xdr:rowOff>47038</xdr:rowOff>
    </xdr:to>
    <mc:AlternateContent xmlns:mc="http://schemas.openxmlformats.org/markup-compatibility/2006" xmlns:a14="http://schemas.microsoft.com/office/drawing/2010/main">
      <mc:Choice Requires="a14">
        <xdr:graphicFrame macro="">
          <xdr:nvGraphicFramePr>
            <xdr:cNvPr id="10" name="Payment Mode">
              <a:extLst>
                <a:ext uri="{FF2B5EF4-FFF2-40B4-BE49-F238E27FC236}">
                  <a16:creationId xmlns:a16="http://schemas.microsoft.com/office/drawing/2014/main" id="{05541993-F9FE-7AE5-3CE0-13D2BE48361E}"/>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842371" y="6547371"/>
              <a:ext cx="1832513" cy="1342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145172</xdr:colOff>
      <xdr:row>15</xdr:row>
      <xdr:rowOff>167357</xdr:rowOff>
    </xdr:from>
    <xdr:to>
      <xdr:col>4</xdr:col>
      <xdr:colOff>5843</xdr:colOff>
      <xdr:row>21</xdr:row>
      <xdr:rowOff>40852</xdr:rowOff>
    </xdr:to>
    <mc:AlternateContent xmlns:mc="http://schemas.openxmlformats.org/markup-compatibility/2006" xmlns:a14="http://schemas.microsoft.com/office/drawing/2010/main">
      <mc:Choice Requires="a14">
        <xdr:graphicFrame macro="">
          <xdr:nvGraphicFramePr>
            <xdr:cNvPr id="13" name="Months (Order Date)">
              <a:extLst>
                <a:ext uri="{FF2B5EF4-FFF2-40B4-BE49-F238E27FC236}">
                  <a16:creationId xmlns:a16="http://schemas.microsoft.com/office/drawing/2014/main" id="{77D4ED3B-3F17-30C9-9F2A-36735C1ED1EA}"/>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802453" y="2841041"/>
              <a:ext cx="1832513" cy="942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i Obul Reddy" refreshedDate="45988.643872916669" createdVersion="8" refreshedVersion="8" minRefreshableVersion="3" recordCount="50" xr:uid="{7A01B73B-2A4B-40B5-B81D-D4698A227525}">
  <cacheSource type="worksheet">
    <worksheetSource name="Table1"/>
  </cacheSource>
  <cacheFields count="15">
    <cacheField name="Order ID" numFmtId="0">
      <sharedItems containsSemiMixedTypes="0" containsString="0" containsNumber="1" containsInteger="1" minValue="1001" maxValue="1050" count="5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sharedItems>
    </cacheField>
    <cacheField name="Order Date" numFmtId="14">
      <sharedItems containsSemiMixedTypes="0" containsNonDate="0" containsDate="1" containsString="0" minDate="2024-01-03T00:00:00" maxDate="2024-02-18T00:00:00" count="45">
        <d v="2024-01-03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sharedItems>
      <fieldGroup par="14"/>
    </cacheField>
    <cacheField name="Customer Name" numFmtId="0">
      <sharedItems/>
    </cacheField>
    <cacheField name="City" numFmtId="0">
      <sharedItems count="7">
        <s v="Hyderabad"/>
        <s v="Bangalore"/>
        <s v="Delhi"/>
        <s v="Mumbai"/>
        <s v="Pune"/>
        <s v="Kolkata"/>
        <s v="Chennai"/>
      </sharedItems>
    </cacheField>
    <cacheField name="Category" numFmtId="0">
      <sharedItems count="3">
        <s v="Electronics"/>
        <s v="Fashion"/>
        <s v="Home Decor"/>
      </sharedItems>
    </cacheField>
    <cacheField name="Product Name" numFmtId="0">
      <sharedItems count="50">
        <s v="Wireless Mouse"/>
        <s v="Keyboard"/>
        <s v="Sports Shoes"/>
        <s v="Table Lamp"/>
        <s v="Earbuds"/>
        <s v="Power Bank"/>
        <s v="Men T-Shirt"/>
        <s v="Wall Clock"/>
        <s v="Handbag"/>
        <s v="Smartwatch"/>
        <s v="Bedside Lamp"/>
        <s v="USB Cable"/>
        <s v="Kurti"/>
        <s v="Bluetooth Speaker"/>
        <s v="Flower Vase"/>
        <s v="Saree"/>
        <s v="Phone Cover"/>
        <s v="Webcam"/>
        <s v="Jeans"/>
        <s v="Candle Set"/>
        <s v="Earphones"/>
        <s v="Top"/>
        <s v="Curtains"/>
        <s v="Jacket"/>
        <s v="Trimmer"/>
        <s v="Charger"/>
        <s v="Earrings"/>
        <s v="Cushion Cover"/>
        <s v="Monitor"/>
        <s v="Router"/>
        <s v="Sandals"/>
        <s v="Doormat"/>
        <s v="LED Bulb"/>
        <s v="Shirt"/>
        <s v="Showpiece"/>
        <s v="Printer"/>
        <s v="Shorts"/>
        <s v="Table Mat"/>
        <s v="Tablet"/>
        <s v="Watch"/>
        <s v="Plant Pot"/>
        <s v="Headphones"/>
        <s v="Scarf"/>
        <s v="Photo Frame"/>
        <s v="Laptop Stand"/>
        <s v="Formal Shoes"/>
        <s v="LED Strip"/>
        <s v="Camera"/>
        <s v="Leggings"/>
        <s v="Mirror"/>
      </sharedItems>
    </cacheField>
    <cacheField name=" Order Status" numFmtId="0">
      <sharedItems count="3">
        <s v="Delivered"/>
        <s v="Returned"/>
        <s v="Cancelled"/>
      </sharedItems>
    </cacheField>
    <cacheField name="Unit Price" numFmtId="0">
      <sharedItems containsSemiMixedTypes="0" containsString="0" containsNumber="1" containsInteger="1" minValue="149" maxValue="24999"/>
    </cacheField>
    <cacheField name="Quantity" numFmtId="0">
      <sharedItems containsSemiMixedTypes="0" containsString="0" containsNumber="1" containsInteger="1" minValue="1" maxValue="6"/>
    </cacheField>
    <cacheField name="Payment Mode" numFmtId="0">
      <sharedItems count="3">
        <s v="UPI"/>
        <s v="COD"/>
        <s v="Card"/>
      </sharedItems>
    </cacheField>
    <cacheField name="Discount %" numFmtId="0">
      <sharedItems containsSemiMixedTypes="0" containsString="0" containsNumber="1" containsInteger="1" minValue="0" maxValue="10"/>
    </cacheField>
    <cacheField name="Profit" numFmtId="0">
      <sharedItems containsSemiMixedTypes="0" containsString="0" containsNumber="1" containsInteger="1" minValue="-149" maxValue="5000" count="30">
        <n v="350"/>
        <n v="280"/>
        <n v="600"/>
        <n v="720"/>
        <n v="-149"/>
        <n v="460"/>
        <n v="300"/>
        <n v="250"/>
        <n v="450"/>
        <n v="0"/>
        <n v="380"/>
        <n v="200"/>
        <n v="150"/>
        <n v="550"/>
        <n v="240"/>
        <n v="140"/>
        <n v="400"/>
        <n v="260"/>
        <n v="210"/>
        <n v="100"/>
        <n v="1500"/>
        <n v="180"/>
        <n v="120"/>
        <n v="160"/>
        <n v="1200"/>
        <n v="220"/>
        <n v="110"/>
        <n v="2800"/>
        <n v="90"/>
        <n v="5000"/>
      </sharedItems>
    </cacheField>
    <cacheField name="Total Sales" numFmtId="0">
      <sharedItems containsSemiMixedTypes="0" containsString="0" containsNumber="1" containsInteger="1" minValue="598" maxValue="24999" count="33">
        <n v="1598"/>
        <n v="1299"/>
        <n v="2499"/>
        <n v="2997"/>
        <n v="1499"/>
        <n v="2198"/>
        <n v="1797"/>
        <n v="1999"/>
        <n v="2999"/>
        <n v="1798"/>
        <n v="1196"/>
        <n v="799"/>
        <n v="1198"/>
        <n v="897"/>
        <n v="1899"/>
        <n v="1996"/>
        <n v="1398"/>
        <n v="1497"/>
        <n v="1998"/>
        <n v="2899"/>
        <n v="1599"/>
        <n v="598"/>
        <n v="1596"/>
        <n v="7999"/>
        <n v="999"/>
        <n v="894"/>
        <n v="899"/>
        <n v="5999"/>
        <n v="747"/>
        <n v="14999"/>
        <n v="1995"/>
        <n v="24999"/>
        <n v="998"/>
      </sharedItems>
    </cacheField>
    <cacheField name="Days (Order Date)" numFmtId="0" databaseField="0">
      <fieldGroup base="1">
        <rangePr groupBy="days" startDate="2024-01-03T00:00:00" endDate="2024-02-18T00:00:00"/>
        <groupItems count="368">
          <s v="&lt;03-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02-2024"/>
        </groupItems>
      </fieldGroup>
    </cacheField>
    <cacheField name="Months (Order Date)" numFmtId="0" databaseField="0">
      <fieldGroup base="1">
        <rangePr groupBy="months" startDate="2024-01-03T00:00:00" endDate="2024-02-18T00:00:00"/>
        <groupItems count="14">
          <s v="&lt;03-01-2024"/>
          <s v="Jan"/>
          <s v="Feb"/>
          <s v="Mar"/>
          <s v="Apr"/>
          <s v="May"/>
          <s v="Jun"/>
          <s v="Jul"/>
          <s v="Aug"/>
          <s v="Sep"/>
          <s v="Oct"/>
          <s v="Nov"/>
          <s v="Dec"/>
          <s v="&gt;18-02-2024"/>
        </groupItems>
      </fieldGroup>
    </cacheField>
  </cacheFields>
  <extLst>
    <ext xmlns:x14="http://schemas.microsoft.com/office/spreadsheetml/2009/9/main" uri="{725AE2AE-9491-48be-B2B4-4EB974FC3084}">
      <x14:pivotCacheDefinition pivotCacheId="867686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Rahul Sharma"/>
    <x v="0"/>
    <x v="0"/>
    <x v="0"/>
    <x v="0"/>
    <n v="799"/>
    <n v="2"/>
    <x v="0"/>
    <n v="5"/>
    <x v="0"/>
    <x v="0"/>
  </r>
  <r>
    <x v="1"/>
    <x v="1"/>
    <s v="Pooja Verma"/>
    <x v="1"/>
    <x v="0"/>
    <x v="1"/>
    <x v="0"/>
    <n v="1299"/>
    <n v="1"/>
    <x v="1"/>
    <n v="0"/>
    <x v="1"/>
    <x v="1"/>
  </r>
  <r>
    <x v="2"/>
    <x v="2"/>
    <s v="Amit Singh"/>
    <x v="2"/>
    <x v="1"/>
    <x v="2"/>
    <x v="0"/>
    <n v="2499"/>
    <n v="1"/>
    <x v="2"/>
    <n v="10"/>
    <x v="2"/>
    <x v="2"/>
  </r>
  <r>
    <x v="3"/>
    <x v="3"/>
    <s v="Komal Jain"/>
    <x v="3"/>
    <x v="2"/>
    <x v="3"/>
    <x v="0"/>
    <n v="999"/>
    <n v="3"/>
    <x v="0"/>
    <n v="0"/>
    <x v="3"/>
    <x v="3"/>
  </r>
  <r>
    <x v="4"/>
    <x v="4"/>
    <s v="Suresh Rao"/>
    <x v="4"/>
    <x v="0"/>
    <x v="4"/>
    <x v="1"/>
    <n v="1499"/>
    <n v="1"/>
    <x v="0"/>
    <n v="0"/>
    <x v="4"/>
    <x v="4"/>
  </r>
  <r>
    <x v="5"/>
    <x v="5"/>
    <s v="Riya Gupta"/>
    <x v="5"/>
    <x v="0"/>
    <x v="5"/>
    <x v="0"/>
    <n v="1099"/>
    <n v="2"/>
    <x v="2"/>
    <n v="5"/>
    <x v="5"/>
    <x v="5"/>
  </r>
  <r>
    <x v="6"/>
    <x v="5"/>
    <s v="Karan Mehta"/>
    <x v="6"/>
    <x v="1"/>
    <x v="6"/>
    <x v="0"/>
    <n v="599"/>
    <n v="3"/>
    <x v="1"/>
    <n v="0"/>
    <x v="6"/>
    <x v="6"/>
  </r>
  <r>
    <x v="7"/>
    <x v="6"/>
    <s v="Deepak Kumar"/>
    <x v="0"/>
    <x v="2"/>
    <x v="7"/>
    <x v="0"/>
    <n v="1299"/>
    <n v="1"/>
    <x v="0"/>
    <n v="5"/>
    <x v="7"/>
    <x v="1"/>
  </r>
  <r>
    <x v="8"/>
    <x v="7"/>
    <s v="Nikita Sharma"/>
    <x v="1"/>
    <x v="1"/>
    <x v="8"/>
    <x v="0"/>
    <n v="1999"/>
    <n v="1"/>
    <x v="2"/>
    <n v="8"/>
    <x v="8"/>
    <x v="7"/>
  </r>
  <r>
    <x v="9"/>
    <x v="8"/>
    <s v="Vishal Singh"/>
    <x v="3"/>
    <x v="0"/>
    <x v="9"/>
    <x v="2"/>
    <n v="2999"/>
    <n v="1"/>
    <x v="0"/>
    <n v="0"/>
    <x v="9"/>
    <x v="8"/>
  </r>
  <r>
    <x v="10"/>
    <x v="9"/>
    <s v="Harsh Patel"/>
    <x v="4"/>
    <x v="2"/>
    <x v="10"/>
    <x v="0"/>
    <n v="899"/>
    <n v="2"/>
    <x v="1"/>
    <n v="0"/>
    <x v="10"/>
    <x v="9"/>
  </r>
  <r>
    <x v="11"/>
    <x v="10"/>
    <s v="Aisha Khan"/>
    <x v="2"/>
    <x v="0"/>
    <x v="11"/>
    <x v="0"/>
    <n v="299"/>
    <n v="4"/>
    <x v="0"/>
    <n v="0"/>
    <x v="11"/>
    <x v="10"/>
  </r>
  <r>
    <x v="12"/>
    <x v="10"/>
    <s v="Anjali Rao"/>
    <x v="6"/>
    <x v="1"/>
    <x v="12"/>
    <x v="0"/>
    <n v="799"/>
    <n v="1"/>
    <x v="2"/>
    <n v="5"/>
    <x v="12"/>
    <x v="11"/>
  </r>
  <r>
    <x v="13"/>
    <x v="11"/>
    <s v="Parth Shah"/>
    <x v="5"/>
    <x v="0"/>
    <x v="13"/>
    <x v="0"/>
    <n v="2499"/>
    <n v="1"/>
    <x v="1"/>
    <n v="10"/>
    <x v="13"/>
    <x v="2"/>
  </r>
  <r>
    <x v="14"/>
    <x v="12"/>
    <s v="Mohit Jain"/>
    <x v="1"/>
    <x v="2"/>
    <x v="14"/>
    <x v="0"/>
    <n v="599"/>
    <n v="2"/>
    <x v="0"/>
    <n v="5"/>
    <x v="14"/>
    <x v="12"/>
  </r>
  <r>
    <x v="15"/>
    <x v="13"/>
    <s v="Kritika Sen"/>
    <x v="0"/>
    <x v="1"/>
    <x v="15"/>
    <x v="0"/>
    <n v="1499"/>
    <n v="1"/>
    <x v="1"/>
    <n v="0"/>
    <x v="0"/>
    <x v="4"/>
  </r>
  <r>
    <x v="16"/>
    <x v="13"/>
    <s v="Sumit Roy"/>
    <x v="4"/>
    <x v="0"/>
    <x v="16"/>
    <x v="0"/>
    <n v="299"/>
    <n v="3"/>
    <x v="2"/>
    <n v="0"/>
    <x v="15"/>
    <x v="13"/>
  </r>
  <r>
    <x v="17"/>
    <x v="14"/>
    <s v="Priya Mehta"/>
    <x v="2"/>
    <x v="0"/>
    <x v="17"/>
    <x v="0"/>
    <n v="1899"/>
    <n v="1"/>
    <x v="0"/>
    <n v="5"/>
    <x v="16"/>
    <x v="14"/>
  </r>
  <r>
    <x v="18"/>
    <x v="15"/>
    <s v="Rohit Sharma"/>
    <x v="3"/>
    <x v="1"/>
    <x v="18"/>
    <x v="0"/>
    <n v="1299"/>
    <n v="1"/>
    <x v="1"/>
    <n v="0"/>
    <x v="7"/>
    <x v="1"/>
  </r>
  <r>
    <x v="19"/>
    <x v="16"/>
    <s v="Nisha Agarwal"/>
    <x v="6"/>
    <x v="2"/>
    <x v="19"/>
    <x v="0"/>
    <n v="499"/>
    <n v="4"/>
    <x v="0"/>
    <n v="0"/>
    <x v="6"/>
    <x v="15"/>
  </r>
  <r>
    <x v="20"/>
    <x v="17"/>
    <s v="Arjun Gupta"/>
    <x v="5"/>
    <x v="0"/>
    <x v="20"/>
    <x v="0"/>
    <n v="699"/>
    <n v="2"/>
    <x v="2"/>
    <n v="5"/>
    <x v="17"/>
    <x v="16"/>
  </r>
  <r>
    <x v="21"/>
    <x v="18"/>
    <s v="Mansi Shah"/>
    <x v="2"/>
    <x v="1"/>
    <x v="21"/>
    <x v="0"/>
    <n v="499"/>
    <n v="3"/>
    <x v="0"/>
    <n v="0"/>
    <x v="1"/>
    <x v="17"/>
  </r>
  <r>
    <x v="22"/>
    <x v="19"/>
    <s v="Kunal Verma"/>
    <x v="0"/>
    <x v="2"/>
    <x v="22"/>
    <x v="0"/>
    <n v="999"/>
    <n v="2"/>
    <x v="1"/>
    <n v="5"/>
    <x v="0"/>
    <x v="18"/>
  </r>
  <r>
    <x v="23"/>
    <x v="20"/>
    <s v="Ankit Patel"/>
    <x v="1"/>
    <x v="1"/>
    <x v="23"/>
    <x v="0"/>
    <n v="2899"/>
    <n v="1"/>
    <x v="0"/>
    <n v="10"/>
    <x v="2"/>
    <x v="19"/>
  </r>
  <r>
    <x v="24"/>
    <x v="21"/>
    <s v="Sweta Singh"/>
    <x v="3"/>
    <x v="0"/>
    <x v="24"/>
    <x v="0"/>
    <n v="1599"/>
    <n v="1"/>
    <x v="1"/>
    <n v="0"/>
    <x v="6"/>
    <x v="20"/>
  </r>
  <r>
    <x v="25"/>
    <x v="22"/>
    <s v="Vikas Rao"/>
    <x v="4"/>
    <x v="0"/>
    <x v="25"/>
    <x v="0"/>
    <n v="499"/>
    <n v="3"/>
    <x v="2"/>
    <n v="0"/>
    <x v="18"/>
    <x v="17"/>
  </r>
  <r>
    <x v="26"/>
    <x v="23"/>
    <s v="Divya Nair"/>
    <x v="6"/>
    <x v="1"/>
    <x v="26"/>
    <x v="0"/>
    <n v="299"/>
    <n v="2"/>
    <x v="2"/>
    <n v="0"/>
    <x v="19"/>
    <x v="21"/>
  </r>
  <r>
    <x v="27"/>
    <x v="24"/>
    <s v="Akash Jain"/>
    <x v="0"/>
    <x v="2"/>
    <x v="27"/>
    <x v="0"/>
    <n v="399"/>
    <n v="4"/>
    <x v="1"/>
    <n v="5"/>
    <x v="17"/>
    <x v="22"/>
  </r>
  <r>
    <x v="28"/>
    <x v="24"/>
    <s v="Megha Sharma"/>
    <x v="2"/>
    <x v="0"/>
    <x v="28"/>
    <x v="0"/>
    <n v="7999"/>
    <n v="1"/>
    <x v="2"/>
    <n v="5"/>
    <x v="20"/>
    <x v="23"/>
  </r>
  <r>
    <x v="29"/>
    <x v="25"/>
    <s v="Rajeev Kumar"/>
    <x v="1"/>
    <x v="0"/>
    <x v="29"/>
    <x v="0"/>
    <n v="1999"/>
    <n v="1"/>
    <x v="0"/>
    <n v="8"/>
    <x v="16"/>
    <x v="7"/>
  </r>
  <r>
    <x v="30"/>
    <x v="26"/>
    <s v="Shruti Singh"/>
    <x v="3"/>
    <x v="1"/>
    <x v="30"/>
    <x v="0"/>
    <n v="999"/>
    <n v="1"/>
    <x v="1"/>
    <n v="0"/>
    <x v="21"/>
    <x v="24"/>
  </r>
  <r>
    <x v="31"/>
    <x v="27"/>
    <s v="Harish Kumar"/>
    <x v="4"/>
    <x v="2"/>
    <x v="31"/>
    <x v="0"/>
    <n v="299"/>
    <n v="3"/>
    <x v="0"/>
    <n v="0"/>
    <x v="22"/>
    <x v="13"/>
  </r>
  <r>
    <x v="32"/>
    <x v="28"/>
    <s v="Roshni Patel"/>
    <x v="5"/>
    <x v="0"/>
    <x v="32"/>
    <x v="0"/>
    <n v="149"/>
    <n v="6"/>
    <x v="1"/>
    <n v="0"/>
    <x v="23"/>
    <x v="25"/>
  </r>
  <r>
    <x v="33"/>
    <x v="29"/>
    <s v="Ananya Mehra"/>
    <x v="2"/>
    <x v="1"/>
    <x v="33"/>
    <x v="0"/>
    <n v="899"/>
    <n v="1"/>
    <x v="2"/>
    <n v="0"/>
    <x v="21"/>
    <x v="26"/>
  </r>
  <r>
    <x v="34"/>
    <x v="30"/>
    <s v="Samir Gupta"/>
    <x v="3"/>
    <x v="2"/>
    <x v="34"/>
    <x v="0"/>
    <n v="1299"/>
    <n v="1"/>
    <x v="0"/>
    <n v="5"/>
    <x v="7"/>
    <x v="1"/>
  </r>
  <r>
    <x v="35"/>
    <x v="31"/>
    <s v="Kavya Sharma"/>
    <x v="1"/>
    <x v="0"/>
    <x v="35"/>
    <x v="0"/>
    <n v="5999"/>
    <n v="1"/>
    <x v="2"/>
    <n v="10"/>
    <x v="24"/>
    <x v="27"/>
  </r>
  <r>
    <x v="36"/>
    <x v="32"/>
    <s v="Nitin Rao"/>
    <x v="4"/>
    <x v="1"/>
    <x v="36"/>
    <x v="0"/>
    <n v="699"/>
    <n v="2"/>
    <x v="1"/>
    <n v="0"/>
    <x v="25"/>
    <x v="16"/>
  </r>
  <r>
    <x v="37"/>
    <x v="32"/>
    <s v="Muskan Jain"/>
    <x v="6"/>
    <x v="2"/>
    <x v="37"/>
    <x v="0"/>
    <n v="249"/>
    <n v="3"/>
    <x v="0"/>
    <n v="0"/>
    <x v="26"/>
    <x v="28"/>
  </r>
  <r>
    <x v="38"/>
    <x v="33"/>
    <s v="Shivam Singh"/>
    <x v="0"/>
    <x v="0"/>
    <x v="38"/>
    <x v="0"/>
    <n v="14999"/>
    <n v="1"/>
    <x v="2"/>
    <n v="5"/>
    <x v="27"/>
    <x v="29"/>
  </r>
  <r>
    <x v="39"/>
    <x v="34"/>
    <s v="Aryan Patel"/>
    <x v="2"/>
    <x v="1"/>
    <x v="39"/>
    <x v="0"/>
    <n v="1999"/>
    <n v="1"/>
    <x v="1"/>
    <n v="0"/>
    <x v="16"/>
    <x v="7"/>
  </r>
  <r>
    <x v="40"/>
    <x v="35"/>
    <s v="Reema Gupta"/>
    <x v="3"/>
    <x v="2"/>
    <x v="40"/>
    <x v="0"/>
    <n v="699"/>
    <n v="2"/>
    <x v="0"/>
    <n v="0"/>
    <x v="7"/>
    <x v="16"/>
  </r>
  <r>
    <x v="41"/>
    <x v="36"/>
    <s v="Sachin Verma"/>
    <x v="4"/>
    <x v="0"/>
    <x v="41"/>
    <x v="0"/>
    <n v="1999"/>
    <n v="1"/>
    <x v="1"/>
    <n v="0"/>
    <x v="0"/>
    <x v="7"/>
  </r>
  <r>
    <x v="42"/>
    <x v="37"/>
    <s v="Naina Shah"/>
    <x v="5"/>
    <x v="1"/>
    <x v="42"/>
    <x v="0"/>
    <n v="299"/>
    <n v="2"/>
    <x v="0"/>
    <n v="0"/>
    <x v="28"/>
    <x v="21"/>
  </r>
  <r>
    <x v="43"/>
    <x v="38"/>
    <s v="Manish Kumar"/>
    <x v="1"/>
    <x v="2"/>
    <x v="43"/>
    <x v="0"/>
    <n v="499"/>
    <n v="3"/>
    <x v="2"/>
    <n v="0"/>
    <x v="11"/>
    <x v="17"/>
  </r>
  <r>
    <x v="44"/>
    <x v="39"/>
    <s v="Neha Singh"/>
    <x v="0"/>
    <x v="0"/>
    <x v="44"/>
    <x v="0"/>
    <n v="1299"/>
    <n v="1"/>
    <x v="0"/>
    <n v="5"/>
    <x v="7"/>
    <x v="1"/>
  </r>
  <r>
    <x v="45"/>
    <x v="40"/>
    <s v="Aayush Jain"/>
    <x v="2"/>
    <x v="1"/>
    <x v="45"/>
    <x v="0"/>
    <n v="2499"/>
    <n v="1"/>
    <x v="1"/>
    <n v="10"/>
    <x v="13"/>
    <x v="2"/>
  </r>
  <r>
    <x v="46"/>
    <x v="41"/>
    <s v="Ritika Roy"/>
    <x v="3"/>
    <x v="2"/>
    <x v="46"/>
    <x v="0"/>
    <n v="399"/>
    <n v="5"/>
    <x v="2"/>
    <n v="0"/>
    <x v="0"/>
    <x v="30"/>
  </r>
  <r>
    <x v="47"/>
    <x v="42"/>
    <s v="Jay Shah"/>
    <x v="4"/>
    <x v="0"/>
    <x v="47"/>
    <x v="0"/>
    <n v="24999"/>
    <n v="1"/>
    <x v="0"/>
    <n v="10"/>
    <x v="29"/>
    <x v="31"/>
  </r>
  <r>
    <x v="48"/>
    <x v="43"/>
    <s v="Mona Rao"/>
    <x v="5"/>
    <x v="1"/>
    <x v="48"/>
    <x v="0"/>
    <n v="499"/>
    <n v="2"/>
    <x v="1"/>
    <n v="0"/>
    <x v="12"/>
    <x v="32"/>
  </r>
  <r>
    <x v="49"/>
    <x v="44"/>
    <s v="Sunny Kumar"/>
    <x v="1"/>
    <x v="2"/>
    <x v="49"/>
    <x v="0"/>
    <n v="999"/>
    <n v="1"/>
    <x v="0"/>
    <n v="5"/>
    <x v="21"/>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1B0B9D-94E4-4901-A8F1-9DD1258F7D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1:G15" firstHeaderRow="1"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8">
        <item h="1" x="1"/>
        <item h="1" x="6"/>
        <item h="1" x="2"/>
        <item x="0"/>
        <item x="5"/>
        <item x="3"/>
        <item h="1" x="4"/>
        <item t="default"/>
      </items>
    </pivotField>
    <pivotField showAll="0">
      <items count="4">
        <item h="1" x="0"/>
        <item x="1"/>
        <item x="2"/>
        <item t="default"/>
      </items>
    </pivotField>
    <pivotField showAll="0">
      <items count="51">
        <item x="10"/>
        <item x="13"/>
        <item x="47"/>
        <item x="19"/>
        <item x="25"/>
        <item x="22"/>
        <item x="27"/>
        <item x="31"/>
        <item x="4"/>
        <item x="20"/>
        <item x="26"/>
        <item x="14"/>
        <item x="45"/>
        <item x="8"/>
        <item x="41"/>
        <item x="23"/>
        <item x="18"/>
        <item x="1"/>
        <item x="12"/>
        <item x="44"/>
        <item x="32"/>
        <item x="46"/>
        <item x="48"/>
        <item x="6"/>
        <item x="49"/>
        <item x="28"/>
        <item x="16"/>
        <item x="43"/>
        <item x="40"/>
        <item x="5"/>
        <item x="35"/>
        <item x="29"/>
        <item x="30"/>
        <item x="15"/>
        <item x="42"/>
        <item x="33"/>
        <item x="36"/>
        <item x="34"/>
        <item x="9"/>
        <item x="2"/>
        <item x="3"/>
        <item x="37"/>
        <item x="38"/>
        <item x="21"/>
        <item x="24"/>
        <item x="11"/>
        <item x="7"/>
        <item x="39"/>
        <item x="17"/>
        <item x="0"/>
        <item t="default"/>
      </items>
    </pivotField>
    <pivotField showAll="0">
      <items count="4">
        <item x="2"/>
        <item x="0"/>
        <item x="1"/>
        <item t="default"/>
      </items>
    </pivotField>
    <pivotField showAll="0"/>
    <pivotField dataField="1" showAll="0"/>
    <pivotField showAll="0">
      <items count="4">
        <item x="2"/>
        <item x="1"/>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3"/>
    </i>
    <i>
      <x v="4"/>
    </i>
    <i>
      <x v="5"/>
    </i>
    <i t="grand">
      <x/>
    </i>
  </rowItems>
  <colItems count="1">
    <i/>
  </colItems>
  <dataFields count="1">
    <dataField name="Count of Quantity" fld="8" subtotal="count" baseField="3"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08C144-44FC-4E37-AA0D-C8A98F0F7610}" name="PivotTable3" cacheId="0" applyNumberFormats="0" applyBorderFormats="0" applyFontFormats="0" applyPatternFormats="0" applyAlignmentFormats="0" applyWidthHeightFormats="1" dataCaption="Values" updatedVersion="8" minRefreshableVersion="3" useAutoFormatting="1" itemPrintTitles="1" createdVersion="8" outline="1" outlineData="1" multipleFieldFilters="0" chartFormat="40">
  <location ref="F3:G7" firstHeaderRow="1"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8">
        <item h="1" x="1"/>
        <item h="1" x="6"/>
        <item h="1" x="2"/>
        <item x="0"/>
        <item x="5"/>
        <item x="3"/>
        <item h="1" x="4"/>
        <item t="default"/>
      </items>
    </pivotField>
    <pivotField showAll="0">
      <items count="4">
        <item h="1" x="0"/>
        <item x="1"/>
        <item x="2"/>
        <item t="default"/>
      </items>
    </pivotField>
    <pivotField showAll="0"/>
    <pivotField showAll="0">
      <items count="4">
        <item x="2"/>
        <item x="0"/>
        <item x="1"/>
        <item t="default"/>
      </items>
    </pivotField>
    <pivotField showAll="0"/>
    <pivotField showAll="0"/>
    <pivotField axis="axisRow" showAll="0">
      <items count="4">
        <item x="2"/>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Average of Total Sales" fld="12" subtotal="average" baseField="9" baseItem="0"/>
  </dataFields>
  <chartFormats count="2">
    <chartFormat chart="26"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76C30-B8E3-4972-92E4-BFB16B6888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1:C15" firstHeaderRow="1"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8">
        <item h="1" x="1"/>
        <item h="1" x="6"/>
        <item h="1" x="2"/>
        <item x="0"/>
        <item x="5"/>
        <item x="3"/>
        <item h="1" x="4"/>
        <item t="default"/>
      </items>
    </pivotField>
    <pivotField showAll="0">
      <items count="4">
        <item h="1" x="0"/>
        <item x="1"/>
        <item x="2"/>
        <item t="default"/>
      </items>
    </pivotField>
    <pivotField showAll="0"/>
    <pivotField showAll="0"/>
    <pivotField showAll="0"/>
    <pivotField showAll="0"/>
    <pivotField showAll="0">
      <items count="4">
        <item x="2"/>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v="3"/>
    </i>
    <i>
      <x v="4"/>
    </i>
    <i>
      <x v="5"/>
    </i>
    <i t="grand">
      <x/>
    </i>
  </rowItems>
  <colItems count="1">
    <i/>
  </colItems>
  <dataFields count="1">
    <dataField name="Sum of Total Sales" fld="12" baseField="0" baseItem="0"/>
  </dataFields>
  <chartFormats count="10">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3" count="1" selected="0">
            <x v="0"/>
          </reference>
        </references>
      </pivotArea>
    </chartFormat>
    <chartFormat chart="2" format="11">
      <pivotArea type="data" outline="0" fieldPosition="0">
        <references count="2">
          <reference field="4294967294" count="1" selected="0">
            <x v="0"/>
          </reference>
          <reference field="3" count="1" selected="0">
            <x v="1"/>
          </reference>
        </references>
      </pivotArea>
    </chartFormat>
    <chartFormat chart="2" format="12">
      <pivotArea type="data" outline="0" fieldPosition="0">
        <references count="2">
          <reference field="4294967294" count="1" selected="0">
            <x v="0"/>
          </reference>
          <reference field="3" count="1" selected="0">
            <x v="2"/>
          </reference>
        </references>
      </pivotArea>
    </chartFormat>
    <chartFormat chart="2" format="13">
      <pivotArea type="data" outline="0" fieldPosition="0">
        <references count="2">
          <reference field="4294967294" count="1" selected="0">
            <x v="0"/>
          </reference>
          <reference field="3" count="1" selected="0">
            <x v="3"/>
          </reference>
        </references>
      </pivotArea>
    </chartFormat>
    <chartFormat chart="2" format="14">
      <pivotArea type="data" outline="0" fieldPosition="0">
        <references count="2">
          <reference field="4294967294" count="1" selected="0">
            <x v="0"/>
          </reference>
          <reference field="3" count="1" selected="0">
            <x v="4"/>
          </reference>
        </references>
      </pivotArea>
    </chartFormat>
    <chartFormat chart="2" format="15">
      <pivotArea type="data" outline="0" fieldPosition="0">
        <references count="2">
          <reference field="4294967294" count="1" selected="0">
            <x v="0"/>
          </reference>
          <reference field="3" count="1" selected="0">
            <x v="5"/>
          </reference>
        </references>
      </pivotArea>
    </chartFormat>
    <chartFormat chart="2" format="16">
      <pivotArea type="data" outline="0" fieldPosition="0">
        <references count="2">
          <reference field="4294967294" count="1" selected="0">
            <x v="0"/>
          </reference>
          <reference field="3" count="1" selected="0">
            <x v="6"/>
          </reference>
        </references>
      </pivotArea>
    </chartFormat>
    <chartFormat chart="2" format="1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AB4761-6D83-4EE7-A640-B7FF0A99B1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C6" firstHeaderRow="1"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8">
        <item h="1" x="1"/>
        <item h="1" x="6"/>
        <item h="1" x="2"/>
        <item x="0"/>
        <item x="5"/>
        <item x="3"/>
        <item h="1" x="4"/>
        <item t="default"/>
      </items>
    </pivotField>
    <pivotField axis="axisRow" showAll="0">
      <items count="4">
        <item h="1" x="0"/>
        <item x="1"/>
        <item x="2"/>
        <item t="default"/>
      </items>
    </pivotField>
    <pivotField showAll="0"/>
    <pivotField showAll="0"/>
    <pivotField showAll="0"/>
    <pivotField showAll="0"/>
    <pivotField showAll="0">
      <items count="4">
        <item x="2"/>
        <item x="1"/>
        <item x="0"/>
        <item t="default"/>
      </items>
    </pivotField>
    <pivotField showAll="0"/>
    <pivotField showAll="0">
      <items count="31">
        <item x="4"/>
        <item x="9"/>
        <item x="28"/>
        <item x="19"/>
        <item x="26"/>
        <item x="22"/>
        <item x="15"/>
        <item x="12"/>
        <item x="23"/>
        <item x="21"/>
        <item x="11"/>
        <item x="18"/>
        <item x="25"/>
        <item x="14"/>
        <item x="7"/>
        <item x="17"/>
        <item x="1"/>
        <item x="6"/>
        <item x="0"/>
        <item x="10"/>
        <item x="16"/>
        <item x="8"/>
        <item x="5"/>
        <item x="13"/>
        <item x="2"/>
        <item x="3"/>
        <item x="24"/>
        <item x="20"/>
        <item x="27"/>
        <item x="29"/>
        <item t="default"/>
      </items>
    </pivotField>
    <pivotField dataField="1" showAll="0">
      <items count="34">
        <item x="21"/>
        <item x="28"/>
        <item x="11"/>
        <item x="25"/>
        <item x="13"/>
        <item x="26"/>
        <item x="32"/>
        <item x="24"/>
        <item x="10"/>
        <item x="12"/>
        <item x="1"/>
        <item x="16"/>
        <item x="17"/>
        <item x="4"/>
        <item x="22"/>
        <item x="0"/>
        <item x="20"/>
        <item x="6"/>
        <item x="9"/>
        <item x="14"/>
        <item x="30"/>
        <item x="15"/>
        <item x="18"/>
        <item x="7"/>
        <item x="5"/>
        <item x="2"/>
        <item x="19"/>
        <item x="3"/>
        <item x="8"/>
        <item x="27"/>
        <item x="23"/>
        <item x="29"/>
        <item x="3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v="1"/>
    </i>
    <i>
      <x v="2"/>
    </i>
    <i t="grand">
      <x/>
    </i>
  </rowItems>
  <colItems count="1">
    <i/>
  </colItems>
  <dataFields count="1">
    <dataField name="Average of Total Sales" fld="12" subtotal="average" baseField="4" baseItem="0"/>
  </dataFields>
  <chartFormats count="5">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125C79-070E-4B82-BC59-49F07C13EE9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8:M22" firstHeaderRow="1" firstDataRow="2"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8">
        <item h="1" x="1"/>
        <item h="1" x="6"/>
        <item h="1" x="2"/>
        <item x="0"/>
        <item x="5"/>
        <item x="3"/>
        <item h="1" x="4"/>
        <item t="default"/>
      </items>
    </pivotField>
    <pivotField axis="axisRow" showAll="0">
      <items count="4">
        <item h="1" x="0"/>
        <item x="1"/>
        <item x="2"/>
        <item t="default"/>
      </items>
    </pivotField>
    <pivotField showAll="0"/>
    <pivotField showAll="0"/>
    <pivotField showAll="0"/>
    <pivotField showAll="0"/>
    <pivotField axis="axisCol" showAll="0">
      <items count="4">
        <item x="2"/>
        <item x="1"/>
        <item x="0"/>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v="1"/>
    </i>
    <i>
      <x v="2"/>
    </i>
    <i t="grand">
      <x/>
    </i>
  </rowItems>
  <colFields count="1">
    <field x="9"/>
  </colFields>
  <colItems count="4">
    <i>
      <x/>
    </i>
    <i>
      <x v="1"/>
    </i>
    <i>
      <x v="2"/>
    </i>
    <i t="grand">
      <x/>
    </i>
  </colItems>
  <dataFields count="1">
    <dataField name="Sum of Discount %" fld="10" baseField="0" baseItem="0"/>
  </dataFields>
  <chartFormats count="1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2" format="3" series="1">
      <pivotArea type="data" outline="0" fieldPosition="0">
        <references count="2">
          <reference field="4294967294" count="1" selected="0">
            <x v="0"/>
          </reference>
          <reference field="9" count="1" selected="0">
            <x v="0"/>
          </reference>
        </references>
      </pivotArea>
    </chartFormat>
    <chartFormat chart="2" format="4" series="1">
      <pivotArea type="data" outline="0" fieldPosition="0">
        <references count="2">
          <reference field="4294967294" count="1" selected="0">
            <x v="0"/>
          </reference>
          <reference field="9" count="1" selected="0">
            <x v="1"/>
          </reference>
        </references>
      </pivotArea>
    </chartFormat>
    <chartFormat chart="2" format="5" series="1">
      <pivotArea type="data" outline="0" fieldPosition="0">
        <references count="2">
          <reference field="4294967294" count="1" selected="0">
            <x v="0"/>
          </reference>
          <reference field="9" count="1" selected="0">
            <x v="2"/>
          </reference>
        </references>
      </pivotArea>
    </chartFormat>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B44B63-534F-451B-BFFB-9BBD671A7E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1:J14" firstHeaderRow="1" firstDataRow="1" firstDataCol="1"/>
  <pivotFields count="15">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8">
        <item h="1" x="1"/>
        <item h="1" x="6"/>
        <item h="1" x="2"/>
        <item x="0"/>
        <item x="5"/>
        <item x="3"/>
        <item h="1" x="4"/>
        <item t="default"/>
      </items>
    </pivotField>
    <pivotField showAll="0">
      <items count="4">
        <item h="1" x="0"/>
        <item x="1"/>
        <item x="2"/>
        <item t="default"/>
      </items>
    </pivotField>
    <pivotField showAll="0"/>
    <pivotField showAll="0"/>
    <pivotField showAll="0"/>
    <pivotField showAll="0"/>
    <pivotField showAll="0">
      <items count="4">
        <item x="2"/>
        <item x="1"/>
        <item x="0"/>
        <item t="default"/>
      </items>
    </pivotField>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4"/>
    <field x="1"/>
  </rowFields>
  <rowItems count="3">
    <i>
      <x v="1"/>
    </i>
    <i>
      <x v="2"/>
    </i>
    <i t="grand">
      <x/>
    </i>
  </rowItems>
  <colItems count="1">
    <i/>
  </colItems>
  <dataFields count="1">
    <dataField name="Average of Total Sales" fld="12" subtotal="average" baseField="14"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CC39AF9-04F7-498E-BE15-1E5F2FBA3F37}" sourceName="City">
  <pivotTables>
    <pivotTable tabId="8" name="PivotTable1"/>
    <pivotTable tabId="8" name="PivotTable11"/>
    <pivotTable tabId="8" name="PivotTable2"/>
    <pivotTable tabId="8" name="PivotTable3"/>
    <pivotTable tabId="8" name="PivotTable4"/>
    <pivotTable tabId="8" name="PivotTable5"/>
  </pivotTables>
  <data>
    <tabular pivotCacheId="867686745">
      <items count="7">
        <i x="1"/>
        <i x="6"/>
        <i x="2"/>
        <i x="0" s="1"/>
        <i x="5" s="1"/>
        <i x="3"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946F6A-D23F-4016-9752-4CB9B8CBABF5}" sourceName="Category">
  <pivotTables>
    <pivotTable tabId="8" name="PivotTable1"/>
    <pivotTable tabId="8" name="PivotTable11"/>
    <pivotTable tabId="8" name="PivotTable2"/>
    <pivotTable tabId="8" name="PivotTable3"/>
    <pivotTable tabId="8" name="PivotTable4"/>
    <pivotTable tabId="8" name="PivotTable5"/>
  </pivotTables>
  <data>
    <tabular pivotCacheId="867686745">
      <items count="3">
        <i x="0"/>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62F5800-9028-415E-B2CF-6983874969EF}" sourceName="Payment Mode">
  <pivotTables>
    <pivotTable tabId="8" name="PivotTable1"/>
    <pivotTable tabId="8" name="PivotTable11"/>
    <pivotTable tabId="8" name="PivotTable2"/>
    <pivotTable tabId="8" name="PivotTable3"/>
    <pivotTable tabId="8" name="PivotTable4"/>
    <pivotTable tabId="8" name="PivotTable5"/>
  </pivotTables>
  <data>
    <tabular pivotCacheId="86768674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6005E61-CA91-4232-9C6B-D0343FEFC8BA}" sourceName="Months (Order Date)">
  <pivotTables>
    <pivotTable tabId="8" name="PivotTable1"/>
    <pivotTable tabId="8" name="PivotTable11"/>
    <pivotTable tabId="8" name="PivotTable2"/>
    <pivotTable tabId="8" name="PivotTable3"/>
    <pivotTable tabId="8" name="PivotTable4"/>
    <pivotTable tabId="8" name="PivotTable5"/>
  </pivotTables>
  <data>
    <tabular pivotCacheId="867686745">
      <items count="14">
        <i x="1" s="1"/>
        <i x="2" s="1"/>
        <i x="3" s="1" nd="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666C7A7-4C60-4EFB-8C10-A64EE0374928}" cache="Slicer_City" caption="City" rowHeight="262466"/>
  <slicer name="Category" xr10:uid="{40321022-A40C-46D2-AB52-ECE67BD906F8}" cache="Slicer_Category" caption="Category" rowHeight="262466"/>
  <slicer name="Payment Mode" xr10:uid="{26D52CD6-5025-4D1A-9273-B92BBA5B8AB7}" cache="Slicer_Payment_Mode" caption="Payment Mode" rowHeight="262466"/>
  <slicer name="Months (Order Date)" xr10:uid="{1FD020EF-023E-4D67-BB86-14A14791BA73}" cache="Slicer_Months__Order_Date" caption="Months (Order Dat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EACC31-41CE-414A-A5E1-FD045C7C8DA2}" name="Table1" displayName="Table1" ref="A1:M51" totalsRowShown="0" headerRowDxfId="16" dataDxfId="15">
  <autoFilter ref="A1:M51" xr:uid="{59EACC31-41CE-414A-A5E1-FD045C7C8DA2}"/>
  <tableColumns count="13">
    <tableColumn id="1" xr3:uid="{47946444-F44A-4324-AC42-9F89ABCA93C0}" name="Order ID" dataDxfId="14"/>
    <tableColumn id="2" xr3:uid="{BB0970E1-2FB3-4B8D-88B4-697FDDCAD982}" name="Order Date" dataDxfId="13"/>
    <tableColumn id="3" xr3:uid="{3F8363A4-E554-4E22-BE99-386056CF7785}" name="Customer Name" dataDxfId="12"/>
    <tableColumn id="4" xr3:uid="{72789E38-93E4-4C03-83D1-8C0EA2FF0A8E}" name="City" dataDxfId="11"/>
    <tableColumn id="5" xr3:uid="{E4EC3BA6-673A-4431-9654-05EE6E46BB39}" name="Category" dataDxfId="10"/>
    <tableColumn id="6" xr3:uid="{E4A899B6-43D7-4F5D-9E12-DB05F96442E1}" name="Product Name" dataDxfId="9"/>
    <tableColumn id="7" xr3:uid="{E5D38E18-2922-4949-A451-ECFD16700E71}" name=" Order Status" dataDxfId="8"/>
    <tableColumn id="8" xr3:uid="{093BD366-10C6-4A0A-B4D0-0AB2AB714290}" name="Unit Price" dataDxfId="7"/>
    <tableColumn id="9" xr3:uid="{5254FE13-FDA3-48A4-B082-E1783AD44829}" name="Quantity" dataDxfId="6"/>
    <tableColumn id="10" xr3:uid="{817D24C4-FC24-4616-BBE3-8E17E0B2F0B3}" name="Payment Mode" dataDxfId="5"/>
    <tableColumn id="11" xr3:uid="{DD9D4F22-1ED2-4FD3-99BE-C647F01985C0}" name="Discount %" dataDxfId="4"/>
    <tableColumn id="12" xr3:uid="{1924A684-9B5F-4AF2-98A8-9F643AA83140}" name="Profit" dataDxfId="3"/>
    <tableColumn id="13" xr3:uid="{A97CE02D-ECC4-4426-A2DB-086A1E2F96FE}" name="Total Sales" dataDxfId="2">
      <calculatedColumnFormula>Table1[[#This Row],[Unit Price]]*Table1[[#This Row],[Quantity]]</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zoomScale="78" zoomScaleNormal="112" workbookViewId="0">
      <selection activeCell="D19" sqref="D19"/>
    </sheetView>
  </sheetViews>
  <sheetFormatPr defaultRowHeight="13.5" x14ac:dyDescent="0.25"/>
  <cols>
    <col min="1" max="1" width="10.75" customWidth="1"/>
    <col min="2" max="2" width="12.5" customWidth="1"/>
    <col min="3" max="3" width="16.6640625" customWidth="1"/>
    <col min="4" max="4" width="9.9140625" customWidth="1"/>
    <col min="5" max="5" width="15.4140625" customWidth="1"/>
    <col min="6" max="6" width="16.1640625" customWidth="1"/>
    <col min="7" max="7" width="14.6640625" customWidth="1"/>
    <col min="8" max="8" width="11.5" customWidth="1"/>
    <col min="9" max="9" width="10.25" customWidth="1"/>
    <col min="10" max="10" width="15.58203125" customWidth="1"/>
    <col min="11" max="11" width="12.9140625" customWidth="1"/>
    <col min="12" max="12" width="8" customWidth="1"/>
  </cols>
  <sheetData>
    <row r="1" spans="1:13" s="1" customFormat="1" ht="14" x14ac:dyDescent="0.3">
      <c r="A1" s="2" t="s">
        <v>0</v>
      </c>
      <c r="B1" s="2" t="s">
        <v>1</v>
      </c>
      <c r="C1" s="2" t="s">
        <v>2</v>
      </c>
      <c r="D1" s="2" t="s">
        <v>3</v>
      </c>
      <c r="E1" s="2" t="s">
        <v>126</v>
      </c>
      <c r="F1" s="2" t="s">
        <v>4</v>
      </c>
      <c r="G1" s="2" t="s">
        <v>127</v>
      </c>
      <c r="H1" s="2" t="s">
        <v>5</v>
      </c>
      <c r="I1" s="2" t="s">
        <v>6</v>
      </c>
      <c r="J1" s="2" t="s">
        <v>7</v>
      </c>
      <c r="K1" s="2" t="s">
        <v>8</v>
      </c>
      <c r="L1" s="2" t="s">
        <v>9</v>
      </c>
      <c r="M1" s="2" t="s">
        <v>128</v>
      </c>
    </row>
    <row r="2" spans="1:13" ht="14" x14ac:dyDescent="0.3">
      <c r="A2" s="3">
        <v>1001</v>
      </c>
      <c r="B2" s="4">
        <v>45294</v>
      </c>
      <c r="C2" s="3" t="s">
        <v>10</v>
      </c>
      <c r="D2" s="3" t="s">
        <v>11</v>
      </c>
      <c r="E2" s="3" t="s">
        <v>12</v>
      </c>
      <c r="F2" s="3" t="s">
        <v>13</v>
      </c>
      <c r="G2" s="3" t="s">
        <v>15</v>
      </c>
      <c r="H2" s="3">
        <v>799</v>
      </c>
      <c r="I2" s="3">
        <v>2</v>
      </c>
      <c r="J2" s="3" t="s">
        <v>14</v>
      </c>
      <c r="K2" s="3">
        <v>5</v>
      </c>
      <c r="L2" s="3">
        <v>350</v>
      </c>
      <c r="M2" s="3">
        <f>Table1[[#This Row],[Unit Price]]*Table1[[#This Row],[Quantity]]</f>
        <v>1598</v>
      </c>
    </row>
    <row r="3" spans="1:13" ht="14" x14ac:dyDescent="0.3">
      <c r="A3" s="3">
        <v>1002</v>
      </c>
      <c r="B3" s="4">
        <v>45296</v>
      </c>
      <c r="C3" s="3" t="s">
        <v>16</v>
      </c>
      <c r="D3" s="3" t="s">
        <v>17</v>
      </c>
      <c r="E3" s="3" t="s">
        <v>12</v>
      </c>
      <c r="F3" s="3" t="s">
        <v>18</v>
      </c>
      <c r="G3" s="3" t="s">
        <v>15</v>
      </c>
      <c r="H3" s="3">
        <v>1299</v>
      </c>
      <c r="I3" s="3">
        <v>1</v>
      </c>
      <c r="J3" s="3" t="s">
        <v>19</v>
      </c>
      <c r="K3" s="3">
        <v>0</v>
      </c>
      <c r="L3" s="3">
        <v>280</v>
      </c>
      <c r="M3" s="3">
        <f>Table1[[#This Row],[Unit Price]]*Table1[[#This Row],[Quantity]]</f>
        <v>1299</v>
      </c>
    </row>
    <row r="4" spans="1:13" ht="14" x14ac:dyDescent="0.3">
      <c r="A4" s="3">
        <v>1003</v>
      </c>
      <c r="B4" s="4">
        <v>45297</v>
      </c>
      <c r="C4" s="3" t="s">
        <v>20</v>
      </c>
      <c r="D4" s="3" t="s">
        <v>21</v>
      </c>
      <c r="E4" s="3" t="s">
        <v>22</v>
      </c>
      <c r="F4" s="3" t="s">
        <v>23</v>
      </c>
      <c r="G4" s="3" t="s">
        <v>15</v>
      </c>
      <c r="H4" s="3">
        <v>2499</v>
      </c>
      <c r="I4" s="3">
        <v>1</v>
      </c>
      <c r="J4" s="3" t="s">
        <v>24</v>
      </c>
      <c r="K4" s="3">
        <v>10</v>
      </c>
      <c r="L4" s="3">
        <v>600</v>
      </c>
      <c r="M4" s="3">
        <f>Table1[[#This Row],[Unit Price]]*Table1[[#This Row],[Quantity]]</f>
        <v>2499</v>
      </c>
    </row>
    <row r="5" spans="1:13" ht="14" x14ac:dyDescent="0.3">
      <c r="A5" s="3">
        <v>1004</v>
      </c>
      <c r="B5" s="4">
        <v>45298</v>
      </c>
      <c r="C5" s="3" t="s">
        <v>25</v>
      </c>
      <c r="D5" s="3" t="s">
        <v>26</v>
      </c>
      <c r="E5" s="3" t="s">
        <v>27</v>
      </c>
      <c r="F5" s="3" t="s">
        <v>28</v>
      </c>
      <c r="G5" s="3" t="s">
        <v>15</v>
      </c>
      <c r="H5" s="3">
        <v>999</v>
      </c>
      <c r="I5" s="3">
        <v>3</v>
      </c>
      <c r="J5" s="3" t="s">
        <v>14</v>
      </c>
      <c r="K5" s="3">
        <v>0</v>
      </c>
      <c r="L5" s="3">
        <v>720</v>
      </c>
      <c r="M5" s="3">
        <f>Table1[[#This Row],[Unit Price]]*Table1[[#This Row],[Quantity]]</f>
        <v>2997</v>
      </c>
    </row>
    <row r="6" spans="1:13" ht="14" x14ac:dyDescent="0.3">
      <c r="A6" s="3">
        <v>1005</v>
      </c>
      <c r="B6" s="4">
        <v>45299</v>
      </c>
      <c r="C6" s="3" t="s">
        <v>29</v>
      </c>
      <c r="D6" s="3" t="s">
        <v>30</v>
      </c>
      <c r="E6" s="3" t="s">
        <v>12</v>
      </c>
      <c r="F6" s="3" t="s">
        <v>31</v>
      </c>
      <c r="G6" s="3" t="s">
        <v>32</v>
      </c>
      <c r="H6" s="3">
        <v>1499</v>
      </c>
      <c r="I6" s="3">
        <v>1</v>
      </c>
      <c r="J6" s="3" t="s">
        <v>14</v>
      </c>
      <c r="K6" s="3">
        <v>0</v>
      </c>
      <c r="L6" s="3">
        <v>-149</v>
      </c>
      <c r="M6" s="3">
        <f>Table1[[#This Row],[Unit Price]]*Table1[[#This Row],[Quantity]]</f>
        <v>1499</v>
      </c>
    </row>
    <row r="7" spans="1:13" ht="14" x14ac:dyDescent="0.3">
      <c r="A7" s="3">
        <v>1006</v>
      </c>
      <c r="B7" s="4">
        <v>45300</v>
      </c>
      <c r="C7" s="3" t="s">
        <v>33</v>
      </c>
      <c r="D7" s="3" t="s">
        <v>34</v>
      </c>
      <c r="E7" s="3" t="s">
        <v>12</v>
      </c>
      <c r="F7" s="3" t="s">
        <v>35</v>
      </c>
      <c r="G7" s="3" t="s">
        <v>15</v>
      </c>
      <c r="H7" s="3">
        <v>1099</v>
      </c>
      <c r="I7" s="3">
        <v>2</v>
      </c>
      <c r="J7" s="3" t="s">
        <v>24</v>
      </c>
      <c r="K7" s="3">
        <v>5</v>
      </c>
      <c r="L7" s="3">
        <v>460</v>
      </c>
      <c r="M7" s="3">
        <f>Table1[[#This Row],[Unit Price]]*Table1[[#This Row],[Quantity]]</f>
        <v>2198</v>
      </c>
    </row>
    <row r="8" spans="1:13" ht="14" x14ac:dyDescent="0.3">
      <c r="A8" s="3">
        <v>1007</v>
      </c>
      <c r="B8" s="4">
        <v>45300</v>
      </c>
      <c r="C8" s="3" t="s">
        <v>36</v>
      </c>
      <c r="D8" s="3" t="s">
        <v>37</v>
      </c>
      <c r="E8" s="3" t="s">
        <v>22</v>
      </c>
      <c r="F8" s="3" t="s">
        <v>38</v>
      </c>
      <c r="G8" s="3" t="s">
        <v>15</v>
      </c>
      <c r="H8" s="3">
        <v>599</v>
      </c>
      <c r="I8" s="3">
        <v>3</v>
      </c>
      <c r="J8" s="3" t="s">
        <v>19</v>
      </c>
      <c r="K8" s="3">
        <v>0</v>
      </c>
      <c r="L8" s="3">
        <v>300</v>
      </c>
      <c r="M8" s="3">
        <f>Table1[[#This Row],[Unit Price]]*Table1[[#This Row],[Quantity]]</f>
        <v>1797</v>
      </c>
    </row>
    <row r="9" spans="1:13" ht="14" x14ac:dyDescent="0.3">
      <c r="A9" s="3">
        <v>1008</v>
      </c>
      <c r="B9" s="4">
        <v>45301</v>
      </c>
      <c r="C9" s="3" t="s">
        <v>39</v>
      </c>
      <c r="D9" s="3" t="s">
        <v>11</v>
      </c>
      <c r="E9" s="3" t="s">
        <v>27</v>
      </c>
      <c r="F9" s="3" t="s">
        <v>40</v>
      </c>
      <c r="G9" s="3" t="s">
        <v>15</v>
      </c>
      <c r="H9" s="3">
        <v>1299</v>
      </c>
      <c r="I9" s="3">
        <v>1</v>
      </c>
      <c r="J9" s="3" t="s">
        <v>14</v>
      </c>
      <c r="K9" s="3">
        <v>5</v>
      </c>
      <c r="L9" s="3">
        <v>250</v>
      </c>
      <c r="M9" s="3">
        <f>Table1[[#This Row],[Unit Price]]*Table1[[#This Row],[Quantity]]</f>
        <v>1299</v>
      </c>
    </row>
    <row r="10" spans="1:13" ht="14" x14ac:dyDescent="0.3">
      <c r="A10" s="3">
        <v>1009</v>
      </c>
      <c r="B10" s="4">
        <v>45302</v>
      </c>
      <c r="C10" s="3" t="s">
        <v>41</v>
      </c>
      <c r="D10" s="3" t="s">
        <v>17</v>
      </c>
      <c r="E10" s="3" t="s">
        <v>22</v>
      </c>
      <c r="F10" s="3" t="s">
        <v>42</v>
      </c>
      <c r="G10" s="3" t="s">
        <v>15</v>
      </c>
      <c r="H10" s="3">
        <v>1999</v>
      </c>
      <c r="I10" s="3">
        <v>1</v>
      </c>
      <c r="J10" s="3" t="s">
        <v>24</v>
      </c>
      <c r="K10" s="3">
        <v>8</v>
      </c>
      <c r="L10" s="3">
        <v>450</v>
      </c>
      <c r="M10" s="3">
        <f>Table1[[#This Row],[Unit Price]]*Table1[[#This Row],[Quantity]]</f>
        <v>1999</v>
      </c>
    </row>
    <row r="11" spans="1:13" ht="14" x14ac:dyDescent="0.3">
      <c r="A11" s="3">
        <v>1010</v>
      </c>
      <c r="B11" s="4">
        <v>45303</v>
      </c>
      <c r="C11" s="3" t="s">
        <v>43</v>
      </c>
      <c r="D11" s="3" t="s">
        <v>26</v>
      </c>
      <c r="E11" s="3" t="s">
        <v>12</v>
      </c>
      <c r="F11" s="3" t="s">
        <v>44</v>
      </c>
      <c r="G11" s="3" t="s">
        <v>45</v>
      </c>
      <c r="H11" s="3">
        <v>2999</v>
      </c>
      <c r="I11" s="3">
        <v>1</v>
      </c>
      <c r="J11" s="3" t="s">
        <v>14</v>
      </c>
      <c r="K11" s="3">
        <v>0</v>
      </c>
      <c r="L11" s="3">
        <v>0</v>
      </c>
      <c r="M11" s="3">
        <f>Table1[[#This Row],[Unit Price]]*Table1[[#This Row],[Quantity]]</f>
        <v>2999</v>
      </c>
    </row>
    <row r="12" spans="1:13" ht="14" x14ac:dyDescent="0.3">
      <c r="A12" s="3">
        <v>1011</v>
      </c>
      <c r="B12" s="4">
        <v>45304</v>
      </c>
      <c r="C12" s="3" t="s">
        <v>46</v>
      </c>
      <c r="D12" s="3" t="s">
        <v>30</v>
      </c>
      <c r="E12" s="3" t="s">
        <v>27</v>
      </c>
      <c r="F12" s="3" t="s">
        <v>47</v>
      </c>
      <c r="G12" s="3" t="s">
        <v>15</v>
      </c>
      <c r="H12" s="3">
        <v>899</v>
      </c>
      <c r="I12" s="3">
        <v>2</v>
      </c>
      <c r="J12" s="3" t="s">
        <v>19</v>
      </c>
      <c r="K12" s="3">
        <v>0</v>
      </c>
      <c r="L12" s="3">
        <v>380</v>
      </c>
      <c r="M12" s="3">
        <f>Table1[[#This Row],[Unit Price]]*Table1[[#This Row],[Quantity]]</f>
        <v>1798</v>
      </c>
    </row>
    <row r="13" spans="1:13" ht="14" x14ac:dyDescent="0.3">
      <c r="A13" s="3">
        <v>1012</v>
      </c>
      <c r="B13" s="4">
        <v>45305</v>
      </c>
      <c r="C13" s="3" t="s">
        <v>48</v>
      </c>
      <c r="D13" s="3" t="s">
        <v>21</v>
      </c>
      <c r="E13" s="3" t="s">
        <v>12</v>
      </c>
      <c r="F13" s="3" t="s">
        <v>49</v>
      </c>
      <c r="G13" s="3" t="s">
        <v>15</v>
      </c>
      <c r="H13" s="3">
        <v>299</v>
      </c>
      <c r="I13" s="3">
        <v>4</v>
      </c>
      <c r="J13" s="3" t="s">
        <v>14</v>
      </c>
      <c r="K13" s="3">
        <v>0</v>
      </c>
      <c r="L13" s="3">
        <v>200</v>
      </c>
      <c r="M13" s="3">
        <f>Table1[[#This Row],[Unit Price]]*Table1[[#This Row],[Quantity]]</f>
        <v>1196</v>
      </c>
    </row>
    <row r="14" spans="1:13" ht="14" x14ac:dyDescent="0.3">
      <c r="A14" s="3">
        <v>1013</v>
      </c>
      <c r="B14" s="4">
        <v>45305</v>
      </c>
      <c r="C14" s="3" t="s">
        <v>50</v>
      </c>
      <c r="D14" s="3" t="s">
        <v>37</v>
      </c>
      <c r="E14" s="3" t="s">
        <v>22</v>
      </c>
      <c r="F14" s="3" t="s">
        <v>51</v>
      </c>
      <c r="G14" s="3" t="s">
        <v>15</v>
      </c>
      <c r="H14" s="3">
        <v>799</v>
      </c>
      <c r="I14" s="3">
        <v>1</v>
      </c>
      <c r="J14" s="3" t="s">
        <v>24</v>
      </c>
      <c r="K14" s="3">
        <v>5</v>
      </c>
      <c r="L14" s="3">
        <v>150</v>
      </c>
      <c r="M14" s="3">
        <f>Table1[[#This Row],[Unit Price]]*Table1[[#This Row],[Quantity]]</f>
        <v>799</v>
      </c>
    </row>
    <row r="15" spans="1:13" ht="14" x14ac:dyDescent="0.3">
      <c r="A15" s="3">
        <v>1014</v>
      </c>
      <c r="B15" s="4">
        <v>45306</v>
      </c>
      <c r="C15" s="3" t="s">
        <v>52</v>
      </c>
      <c r="D15" s="3" t="s">
        <v>34</v>
      </c>
      <c r="E15" s="3" t="s">
        <v>12</v>
      </c>
      <c r="F15" s="3" t="s">
        <v>53</v>
      </c>
      <c r="G15" s="3" t="s">
        <v>15</v>
      </c>
      <c r="H15" s="3">
        <v>2499</v>
      </c>
      <c r="I15" s="3">
        <v>1</v>
      </c>
      <c r="J15" s="3" t="s">
        <v>19</v>
      </c>
      <c r="K15" s="3">
        <v>10</v>
      </c>
      <c r="L15" s="3">
        <v>550</v>
      </c>
      <c r="M15" s="3">
        <f>Table1[[#This Row],[Unit Price]]*Table1[[#This Row],[Quantity]]</f>
        <v>2499</v>
      </c>
    </row>
    <row r="16" spans="1:13" ht="14" x14ac:dyDescent="0.3">
      <c r="A16" s="3">
        <v>1015</v>
      </c>
      <c r="B16" s="4">
        <v>45307</v>
      </c>
      <c r="C16" s="3" t="s">
        <v>54</v>
      </c>
      <c r="D16" s="3" t="s">
        <v>17</v>
      </c>
      <c r="E16" s="3" t="s">
        <v>27</v>
      </c>
      <c r="F16" s="3" t="s">
        <v>55</v>
      </c>
      <c r="G16" s="3" t="s">
        <v>15</v>
      </c>
      <c r="H16" s="3">
        <v>599</v>
      </c>
      <c r="I16" s="3">
        <v>2</v>
      </c>
      <c r="J16" s="3" t="s">
        <v>14</v>
      </c>
      <c r="K16" s="3">
        <v>5</v>
      </c>
      <c r="L16" s="3">
        <v>240</v>
      </c>
      <c r="M16" s="3">
        <f>Table1[[#This Row],[Unit Price]]*Table1[[#This Row],[Quantity]]</f>
        <v>1198</v>
      </c>
    </row>
    <row r="17" spans="1:13" ht="14" x14ac:dyDescent="0.3">
      <c r="A17" s="3">
        <v>1016</v>
      </c>
      <c r="B17" s="4">
        <v>45308</v>
      </c>
      <c r="C17" s="3" t="s">
        <v>56</v>
      </c>
      <c r="D17" s="3" t="s">
        <v>11</v>
      </c>
      <c r="E17" s="3" t="s">
        <v>22</v>
      </c>
      <c r="F17" s="3" t="s">
        <v>57</v>
      </c>
      <c r="G17" s="3" t="s">
        <v>15</v>
      </c>
      <c r="H17" s="3">
        <v>1499</v>
      </c>
      <c r="I17" s="3">
        <v>1</v>
      </c>
      <c r="J17" s="3" t="s">
        <v>19</v>
      </c>
      <c r="K17" s="3">
        <v>0</v>
      </c>
      <c r="L17" s="3">
        <v>350</v>
      </c>
      <c r="M17" s="3">
        <f>Table1[[#This Row],[Unit Price]]*Table1[[#This Row],[Quantity]]</f>
        <v>1499</v>
      </c>
    </row>
    <row r="18" spans="1:13" ht="14" x14ac:dyDescent="0.3">
      <c r="A18" s="3">
        <v>1017</v>
      </c>
      <c r="B18" s="4">
        <v>45308</v>
      </c>
      <c r="C18" s="3" t="s">
        <v>58</v>
      </c>
      <c r="D18" s="3" t="s">
        <v>30</v>
      </c>
      <c r="E18" s="3" t="s">
        <v>12</v>
      </c>
      <c r="F18" s="3" t="s">
        <v>59</v>
      </c>
      <c r="G18" s="3" t="s">
        <v>15</v>
      </c>
      <c r="H18" s="3">
        <v>299</v>
      </c>
      <c r="I18" s="3">
        <v>3</v>
      </c>
      <c r="J18" s="3" t="s">
        <v>24</v>
      </c>
      <c r="K18" s="3">
        <v>0</v>
      </c>
      <c r="L18" s="3">
        <v>140</v>
      </c>
      <c r="M18" s="3">
        <f>Table1[[#This Row],[Unit Price]]*Table1[[#This Row],[Quantity]]</f>
        <v>897</v>
      </c>
    </row>
    <row r="19" spans="1:13" ht="14" x14ac:dyDescent="0.3">
      <c r="A19" s="3">
        <v>1018</v>
      </c>
      <c r="B19" s="4">
        <v>45309</v>
      </c>
      <c r="C19" s="3" t="s">
        <v>60</v>
      </c>
      <c r="D19" s="3" t="s">
        <v>21</v>
      </c>
      <c r="E19" s="3" t="s">
        <v>12</v>
      </c>
      <c r="F19" s="3" t="s">
        <v>61</v>
      </c>
      <c r="G19" s="3" t="s">
        <v>15</v>
      </c>
      <c r="H19" s="3">
        <v>1899</v>
      </c>
      <c r="I19" s="3">
        <v>1</v>
      </c>
      <c r="J19" s="3" t="s">
        <v>14</v>
      </c>
      <c r="K19" s="3">
        <v>5</v>
      </c>
      <c r="L19" s="3">
        <v>400</v>
      </c>
      <c r="M19" s="3">
        <f>Table1[[#This Row],[Unit Price]]*Table1[[#This Row],[Quantity]]</f>
        <v>1899</v>
      </c>
    </row>
    <row r="20" spans="1:13" ht="14" x14ac:dyDescent="0.3">
      <c r="A20" s="3">
        <v>1019</v>
      </c>
      <c r="B20" s="4">
        <v>45310</v>
      </c>
      <c r="C20" s="3" t="s">
        <v>62</v>
      </c>
      <c r="D20" s="3" t="s">
        <v>26</v>
      </c>
      <c r="E20" s="3" t="s">
        <v>22</v>
      </c>
      <c r="F20" s="3" t="s">
        <v>63</v>
      </c>
      <c r="G20" s="3" t="s">
        <v>15</v>
      </c>
      <c r="H20" s="3">
        <v>1299</v>
      </c>
      <c r="I20" s="3">
        <v>1</v>
      </c>
      <c r="J20" s="3" t="s">
        <v>19</v>
      </c>
      <c r="K20" s="3">
        <v>0</v>
      </c>
      <c r="L20" s="3">
        <v>250</v>
      </c>
      <c r="M20" s="3">
        <f>Table1[[#This Row],[Unit Price]]*Table1[[#This Row],[Quantity]]</f>
        <v>1299</v>
      </c>
    </row>
    <row r="21" spans="1:13" ht="14" x14ac:dyDescent="0.3">
      <c r="A21" s="3">
        <v>1020</v>
      </c>
      <c r="B21" s="4">
        <v>45311</v>
      </c>
      <c r="C21" s="3" t="s">
        <v>64</v>
      </c>
      <c r="D21" s="3" t="s">
        <v>37</v>
      </c>
      <c r="E21" s="3" t="s">
        <v>27</v>
      </c>
      <c r="F21" s="3" t="s">
        <v>65</v>
      </c>
      <c r="G21" s="3" t="s">
        <v>15</v>
      </c>
      <c r="H21" s="3">
        <v>499</v>
      </c>
      <c r="I21" s="3">
        <v>4</v>
      </c>
      <c r="J21" s="3" t="s">
        <v>14</v>
      </c>
      <c r="K21" s="3">
        <v>0</v>
      </c>
      <c r="L21" s="3">
        <v>300</v>
      </c>
      <c r="M21" s="3">
        <f>Table1[[#This Row],[Unit Price]]*Table1[[#This Row],[Quantity]]</f>
        <v>1996</v>
      </c>
    </row>
    <row r="22" spans="1:13" ht="14" x14ac:dyDescent="0.3">
      <c r="A22" s="3">
        <v>1021</v>
      </c>
      <c r="B22" s="4">
        <v>45312</v>
      </c>
      <c r="C22" s="3" t="s">
        <v>66</v>
      </c>
      <c r="D22" s="3" t="s">
        <v>34</v>
      </c>
      <c r="E22" s="3" t="s">
        <v>12</v>
      </c>
      <c r="F22" s="3" t="s">
        <v>67</v>
      </c>
      <c r="G22" s="3" t="s">
        <v>15</v>
      </c>
      <c r="H22" s="3">
        <v>699</v>
      </c>
      <c r="I22" s="3">
        <v>2</v>
      </c>
      <c r="J22" s="3" t="s">
        <v>24</v>
      </c>
      <c r="K22" s="3">
        <v>5</v>
      </c>
      <c r="L22" s="3">
        <v>260</v>
      </c>
      <c r="M22" s="3">
        <f>Table1[[#This Row],[Unit Price]]*Table1[[#This Row],[Quantity]]</f>
        <v>1398</v>
      </c>
    </row>
    <row r="23" spans="1:13" ht="14" x14ac:dyDescent="0.3">
      <c r="A23" s="3">
        <v>1022</v>
      </c>
      <c r="B23" s="4">
        <v>45313</v>
      </c>
      <c r="C23" s="3" t="s">
        <v>68</v>
      </c>
      <c r="D23" s="3" t="s">
        <v>21</v>
      </c>
      <c r="E23" s="3" t="s">
        <v>22</v>
      </c>
      <c r="F23" s="3" t="s">
        <v>69</v>
      </c>
      <c r="G23" s="3" t="s">
        <v>15</v>
      </c>
      <c r="H23" s="3">
        <v>499</v>
      </c>
      <c r="I23" s="3">
        <v>3</v>
      </c>
      <c r="J23" s="3" t="s">
        <v>14</v>
      </c>
      <c r="K23" s="3">
        <v>0</v>
      </c>
      <c r="L23" s="3">
        <v>280</v>
      </c>
      <c r="M23" s="3">
        <f>Table1[[#This Row],[Unit Price]]*Table1[[#This Row],[Quantity]]</f>
        <v>1497</v>
      </c>
    </row>
    <row r="24" spans="1:13" ht="14" x14ac:dyDescent="0.3">
      <c r="A24" s="3">
        <v>1023</v>
      </c>
      <c r="B24" s="4">
        <v>45314</v>
      </c>
      <c r="C24" s="3" t="s">
        <v>70</v>
      </c>
      <c r="D24" s="3" t="s">
        <v>11</v>
      </c>
      <c r="E24" s="3" t="s">
        <v>27</v>
      </c>
      <c r="F24" s="3" t="s">
        <v>71</v>
      </c>
      <c r="G24" s="3" t="s">
        <v>15</v>
      </c>
      <c r="H24" s="3">
        <v>999</v>
      </c>
      <c r="I24" s="3">
        <v>2</v>
      </c>
      <c r="J24" s="3" t="s">
        <v>19</v>
      </c>
      <c r="K24" s="3">
        <v>5</v>
      </c>
      <c r="L24" s="3">
        <v>350</v>
      </c>
      <c r="M24" s="3">
        <f>Table1[[#This Row],[Unit Price]]*Table1[[#This Row],[Quantity]]</f>
        <v>1998</v>
      </c>
    </row>
    <row r="25" spans="1:13" ht="14" x14ac:dyDescent="0.3">
      <c r="A25" s="3">
        <v>1024</v>
      </c>
      <c r="B25" s="4">
        <v>45315</v>
      </c>
      <c r="C25" s="3" t="s">
        <v>72</v>
      </c>
      <c r="D25" s="3" t="s">
        <v>17</v>
      </c>
      <c r="E25" s="3" t="s">
        <v>22</v>
      </c>
      <c r="F25" s="3" t="s">
        <v>73</v>
      </c>
      <c r="G25" s="3" t="s">
        <v>15</v>
      </c>
      <c r="H25" s="3">
        <v>2899</v>
      </c>
      <c r="I25" s="3">
        <v>1</v>
      </c>
      <c r="J25" s="3" t="s">
        <v>14</v>
      </c>
      <c r="K25" s="3">
        <v>10</v>
      </c>
      <c r="L25" s="3">
        <v>600</v>
      </c>
      <c r="M25" s="3">
        <f>Table1[[#This Row],[Unit Price]]*Table1[[#This Row],[Quantity]]</f>
        <v>2899</v>
      </c>
    </row>
    <row r="26" spans="1:13" ht="14" x14ac:dyDescent="0.3">
      <c r="A26" s="3">
        <v>1025</v>
      </c>
      <c r="B26" s="4">
        <v>45316</v>
      </c>
      <c r="C26" s="3" t="s">
        <v>74</v>
      </c>
      <c r="D26" s="3" t="s">
        <v>26</v>
      </c>
      <c r="E26" s="3" t="s">
        <v>12</v>
      </c>
      <c r="F26" s="3" t="s">
        <v>75</v>
      </c>
      <c r="G26" s="3" t="s">
        <v>15</v>
      </c>
      <c r="H26" s="3">
        <v>1599</v>
      </c>
      <c r="I26" s="3">
        <v>1</v>
      </c>
      <c r="J26" s="3" t="s">
        <v>19</v>
      </c>
      <c r="K26" s="3">
        <v>0</v>
      </c>
      <c r="L26" s="3">
        <v>300</v>
      </c>
      <c r="M26" s="3">
        <f>Table1[[#This Row],[Unit Price]]*Table1[[#This Row],[Quantity]]</f>
        <v>1599</v>
      </c>
    </row>
    <row r="27" spans="1:13" ht="14" x14ac:dyDescent="0.3">
      <c r="A27" s="3">
        <v>1026</v>
      </c>
      <c r="B27" s="4">
        <v>45317</v>
      </c>
      <c r="C27" s="3" t="s">
        <v>76</v>
      </c>
      <c r="D27" s="3" t="s">
        <v>30</v>
      </c>
      <c r="E27" s="3" t="s">
        <v>12</v>
      </c>
      <c r="F27" s="3" t="s">
        <v>77</v>
      </c>
      <c r="G27" s="3" t="s">
        <v>15</v>
      </c>
      <c r="H27" s="3">
        <v>499</v>
      </c>
      <c r="I27" s="3">
        <v>3</v>
      </c>
      <c r="J27" s="3" t="s">
        <v>24</v>
      </c>
      <c r="K27" s="3">
        <v>0</v>
      </c>
      <c r="L27" s="3">
        <v>210</v>
      </c>
      <c r="M27" s="3">
        <f>Table1[[#This Row],[Unit Price]]*Table1[[#This Row],[Quantity]]</f>
        <v>1497</v>
      </c>
    </row>
    <row r="28" spans="1:13" ht="14" x14ac:dyDescent="0.3">
      <c r="A28" s="3">
        <v>1027</v>
      </c>
      <c r="B28" s="4">
        <v>45318</v>
      </c>
      <c r="C28" s="3" t="s">
        <v>78</v>
      </c>
      <c r="D28" s="3" t="s">
        <v>37</v>
      </c>
      <c r="E28" s="3" t="s">
        <v>22</v>
      </c>
      <c r="F28" s="3" t="s">
        <v>79</v>
      </c>
      <c r="G28" s="3" t="s">
        <v>15</v>
      </c>
      <c r="H28" s="3">
        <v>299</v>
      </c>
      <c r="I28" s="3">
        <v>2</v>
      </c>
      <c r="J28" s="3" t="s">
        <v>24</v>
      </c>
      <c r="K28" s="3">
        <v>0</v>
      </c>
      <c r="L28" s="3">
        <v>100</v>
      </c>
      <c r="M28" s="3">
        <f>Table1[[#This Row],[Unit Price]]*Table1[[#This Row],[Quantity]]</f>
        <v>598</v>
      </c>
    </row>
    <row r="29" spans="1:13" ht="14" x14ac:dyDescent="0.3">
      <c r="A29" s="3">
        <v>1028</v>
      </c>
      <c r="B29" s="4">
        <v>45319</v>
      </c>
      <c r="C29" s="3" t="s">
        <v>80</v>
      </c>
      <c r="D29" s="3" t="s">
        <v>11</v>
      </c>
      <c r="E29" s="3" t="s">
        <v>27</v>
      </c>
      <c r="F29" s="3" t="s">
        <v>81</v>
      </c>
      <c r="G29" s="3" t="s">
        <v>15</v>
      </c>
      <c r="H29" s="3">
        <v>399</v>
      </c>
      <c r="I29" s="3">
        <v>4</v>
      </c>
      <c r="J29" s="3" t="s">
        <v>19</v>
      </c>
      <c r="K29" s="3">
        <v>5</v>
      </c>
      <c r="L29" s="3">
        <v>260</v>
      </c>
      <c r="M29" s="3">
        <f>Table1[[#This Row],[Unit Price]]*Table1[[#This Row],[Quantity]]</f>
        <v>1596</v>
      </c>
    </row>
    <row r="30" spans="1:13" ht="14" x14ac:dyDescent="0.3">
      <c r="A30" s="3">
        <v>1029</v>
      </c>
      <c r="B30" s="4">
        <v>45319</v>
      </c>
      <c r="C30" s="3" t="s">
        <v>82</v>
      </c>
      <c r="D30" s="3" t="s">
        <v>21</v>
      </c>
      <c r="E30" s="3" t="s">
        <v>12</v>
      </c>
      <c r="F30" s="3" t="s">
        <v>83</v>
      </c>
      <c r="G30" s="3" t="s">
        <v>15</v>
      </c>
      <c r="H30" s="3">
        <v>7999</v>
      </c>
      <c r="I30" s="3">
        <v>1</v>
      </c>
      <c r="J30" s="3" t="s">
        <v>24</v>
      </c>
      <c r="K30" s="3">
        <v>5</v>
      </c>
      <c r="L30" s="3">
        <v>1500</v>
      </c>
      <c r="M30" s="3">
        <f>Table1[[#This Row],[Unit Price]]*Table1[[#This Row],[Quantity]]</f>
        <v>7999</v>
      </c>
    </row>
    <row r="31" spans="1:13" ht="14" x14ac:dyDescent="0.3">
      <c r="A31" s="3">
        <v>1030</v>
      </c>
      <c r="B31" s="4">
        <v>45320</v>
      </c>
      <c r="C31" s="3" t="s">
        <v>84</v>
      </c>
      <c r="D31" s="3" t="s">
        <v>17</v>
      </c>
      <c r="E31" s="3" t="s">
        <v>12</v>
      </c>
      <c r="F31" s="3" t="s">
        <v>85</v>
      </c>
      <c r="G31" s="3" t="s">
        <v>15</v>
      </c>
      <c r="H31" s="3">
        <v>1999</v>
      </c>
      <c r="I31" s="3">
        <v>1</v>
      </c>
      <c r="J31" s="3" t="s">
        <v>14</v>
      </c>
      <c r="K31" s="3">
        <v>8</v>
      </c>
      <c r="L31" s="3">
        <v>400</v>
      </c>
      <c r="M31" s="3">
        <f>Table1[[#This Row],[Unit Price]]*Table1[[#This Row],[Quantity]]</f>
        <v>1999</v>
      </c>
    </row>
    <row r="32" spans="1:13" ht="14" x14ac:dyDescent="0.3">
      <c r="A32" s="3">
        <v>1031</v>
      </c>
      <c r="B32" s="4">
        <v>45321</v>
      </c>
      <c r="C32" s="3" t="s">
        <v>86</v>
      </c>
      <c r="D32" s="3" t="s">
        <v>26</v>
      </c>
      <c r="E32" s="3" t="s">
        <v>22</v>
      </c>
      <c r="F32" s="3" t="s">
        <v>87</v>
      </c>
      <c r="G32" s="3" t="s">
        <v>15</v>
      </c>
      <c r="H32" s="3">
        <v>999</v>
      </c>
      <c r="I32" s="3">
        <v>1</v>
      </c>
      <c r="J32" s="3" t="s">
        <v>19</v>
      </c>
      <c r="K32" s="3">
        <v>0</v>
      </c>
      <c r="L32" s="3">
        <v>180</v>
      </c>
      <c r="M32" s="3">
        <f>Table1[[#This Row],[Unit Price]]*Table1[[#This Row],[Quantity]]</f>
        <v>999</v>
      </c>
    </row>
    <row r="33" spans="1:13" ht="14" x14ac:dyDescent="0.3">
      <c r="A33" s="3">
        <v>1032</v>
      </c>
      <c r="B33" s="4">
        <v>45322</v>
      </c>
      <c r="C33" s="3" t="s">
        <v>88</v>
      </c>
      <c r="D33" s="3" t="s">
        <v>30</v>
      </c>
      <c r="E33" s="3" t="s">
        <v>27</v>
      </c>
      <c r="F33" s="3" t="s">
        <v>89</v>
      </c>
      <c r="G33" s="3" t="s">
        <v>15</v>
      </c>
      <c r="H33" s="3">
        <v>299</v>
      </c>
      <c r="I33" s="3">
        <v>3</v>
      </c>
      <c r="J33" s="3" t="s">
        <v>14</v>
      </c>
      <c r="K33" s="3">
        <v>0</v>
      </c>
      <c r="L33" s="3">
        <v>120</v>
      </c>
      <c r="M33" s="3">
        <f>Table1[[#This Row],[Unit Price]]*Table1[[#This Row],[Quantity]]</f>
        <v>897</v>
      </c>
    </row>
    <row r="34" spans="1:13" ht="14" x14ac:dyDescent="0.3">
      <c r="A34" s="3">
        <v>1033</v>
      </c>
      <c r="B34" s="4">
        <v>45323</v>
      </c>
      <c r="C34" s="3" t="s">
        <v>90</v>
      </c>
      <c r="D34" s="3" t="s">
        <v>34</v>
      </c>
      <c r="E34" s="3" t="s">
        <v>12</v>
      </c>
      <c r="F34" s="3" t="s">
        <v>91</v>
      </c>
      <c r="G34" s="3" t="s">
        <v>15</v>
      </c>
      <c r="H34" s="3">
        <v>149</v>
      </c>
      <c r="I34" s="3">
        <v>6</v>
      </c>
      <c r="J34" s="3" t="s">
        <v>19</v>
      </c>
      <c r="K34" s="3">
        <v>0</v>
      </c>
      <c r="L34" s="3">
        <v>160</v>
      </c>
      <c r="M34" s="3">
        <f>Table1[[#This Row],[Unit Price]]*Table1[[#This Row],[Quantity]]</f>
        <v>894</v>
      </c>
    </row>
    <row r="35" spans="1:13" ht="14" x14ac:dyDescent="0.3">
      <c r="A35" s="3">
        <v>1034</v>
      </c>
      <c r="B35" s="4">
        <v>45324</v>
      </c>
      <c r="C35" s="3" t="s">
        <v>92</v>
      </c>
      <c r="D35" s="3" t="s">
        <v>21</v>
      </c>
      <c r="E35" s="3" t="s">
        <v>22</v>
      </c>
      <c r="F35" s="3" t="s">
        <v>93</v>
      </c>
      <c r="G35" s="3" t="s">
        <v>15</v>
      </c>
      <c r="H35" s="3">
        <v>899</v>
      </c>
      <c r="I35" s="3">
        <v>1</v>
      </c>
      <c r="J35" s="3" t="s">
        <v>24</v>
      </c>
      <c r="K35" s="3">
        <v>0</v>
      </c>
      <c r="L35" s="3">
        <v>180</v>
      </c>
      <c r="M35" s="3">
        <f>Table1[[#This Row],[Unit Price]]*Table1[[#This Row],[Quantity]]</f>
        <v>899</v>
      </c>
    </row>
    <row r="36" spans="1:13" ht="14" x14ac:dyDescent="0.3">
      <c r="A36" s="3">
        <v>1035</v>
      </c>
      <c r="B36" s="4">
        <v>45325</v>
      </c>
      <c r="C36" s="3" t="s">
        <v>94</v>
      </c>
      <c r="D36" s="3" t="s">
        <v>26</v>
      </c>
      <c r="E36" s="3" t="s">
        <v>27</v>
      </c>
      <c r="F36" s="3" t="s">
        <v>95</v>
      </c>
      <c r="G36" s="3" t="s">
        <v>15</v>
      </c>
      <c r="H36" s="3">
        <v>1299</v>
      </c>
      <c r="I36" s="3">
        <v>1</v>
      </c>
      <c r="J36" s="3" t="s">
        <v>14</v>
      </c>
      <c r="K36" s="3">
        <v>5</v>
      </c>
      <c r="L36" s="3">
        <v>250</v>
      </c>
      <c r="M36" s="3">
        <f>Table1[[#This Row],[Unit Price]]*Table1[[#This Row],[Quantity]]</f>
        <v>1299</v>
      </c>
    </row>
    <row r="37" spans="1:13" ht="14" x14ac:dyDescent="0.3">
      <c r="A37" s="3">
        <v>1036</v>
      </c>
      <c r="B37" s="4">
        <v>45326</v>
      </c>
      <c r="C37" s="3" t="s">
        <v>96</v>
      </c>
      <c r="D37" s="3" t="s">
        <v>17</v>
      </c>
      <c r="E37" s="3" t="s">
        <v>12</v>
      </c>
      <c r="F37" s="3" t="s">
        <v>97</v>
      </c>
      <c r="G37" s="3" t="s">
        <v>15</v>
      </c>
      <c r="H37" s="3">
        <v>5999</v>
      </c>
      <c r="I37" s="3">
        <v>1</v>
      </c>
      <c r="J37" s="3" t="s">
        <v>24</v>
      </c>
      <c r="K37" s="3">
        <v>10</v>
      </c>
      <c r="L37" s="3">
        <v>1200</v>
      </c>
      <c r="M37" s="3">
        <f>Table1[[#This Row],[Unit Price]]*Table1[[#This Row],[Quantity]]</f>
        <v>5999</v>
      </c>
    </row>
    <row r="38" spans="1:13" ht="14" x14ac:dyDescent="0.3">
      <c r="A38" s="3">
        <v>1037</v>
      </c>
      <c r="B38" s="4">
        <v>45327</v>
      </c>
      <c r="C38" s="3" t="s">
        <v>98</v>
      </c>
      <c r="D38" s="3" t="s">
        <v>30</v>
      </c>
      <c r="E38" s="3" t="s">
        <v>22</v>
      </c>
      <c r="F38" s="3" t="s">
        <v>99</v>
      </c>
      <c r="G38" s="3" t="s">
        <v>15</v>
      </c>
      <c r="H38" s="3">
        <v>699</v>
      </c>
      <c r="I38" s="3">
        <v>2</v>
      </c>
      <c r="J38" s="3" t="s">
        <v>19</v>
      </c>
      <c r="K38" s="3">
        <v>0</v>
      </c>
      <c r="L38" s="3">
        <v>220</v>
      </c>
      <c r="M38" s="3">
        <f>Table1[[#This Row],[Unit Price]]*Table1[[#This Row],[Quantity]]</f>
        <v>1398</v>
      </c>
    </row>
    <row r="39" spans="1:13" ht="14" x14ac:dyDescent="0.3">
      <c r="A39" s="3">
        <v>1038</v>
      </c>
      <c r="B39" s="4">
        <v>45327</v>
      </c>
      <c r="C39" s="3" t="s">
        <v>100</v>
      </c>
      <c r="D39" s="3" t="s">
        <v>37</v>
      </c>
      <c r="E39" s="3" t="s">
        <v>27</v>
      </c>
      <c r="F39" s="3" t="s">
        <v>101</v>
      </c>
      <c r="G39" s="3" t="s">
        <v>15</v>
      </c>
      <c r="H39" s="3">
        <v>249</v>
      </c>
      <c r="I39" s="3">
        <v>3</v>
      </c>
      <c r="J39" s="3" t="s">
        <v>14</v>
      </c>
      <c r="K39" s="3">
        <v>0</v>
      </c>
      <c r="L39" s="3">
        <v>110</v>
      </c>
      <c r="M39" s="3">
        <f>Table1[[#This Row],[Unit Price]]*Table1[[#This Row],[Quantity]]</f>
        <v>747</v>
      </c>
    </row>
    <row r="40" spans="1:13" ht="14" x14ac:dyDescent="0.3">
      <c r="A40" s="3">
        <v>1039</v>
      </c>
      <c r="B40" s="4">
        <v>45328</v>
      </c>
      <c r="C40" s="3" t="s">
        <v>102</v>
      </c>
      <c r="D40" s="3" t="s">
        <v>11</v>
      </c>
      <c r="E40" s="3" t="s">
        <v>12</v>
      </c>
      <c r="F40" s="3" t="s">
        <v>103</v>
      </c>
      <c r="G40" s="3" t="s">
        <v>15</v>
      </c>
      <c r="H40" s="3">
        <v>14999</v>
      </c>
      <c r="I40" s="3">
        <v>1</v>
      </c>
      <c r="J40" s="3" t="s">
        <v>24</v>
      </c>
      <c r="K40" s="3">
        <v>5</v>
      </c>
      <c r="L40" s="3">
        <v>2800</v>
      </c>
      <c r="M40" s="3">
        <f>Table1[[#This Row],[Unit Price]]*Table1[[#This Row],[Quantity]]</f>
        <v>14999</v>
      </c>
    </row>
    <row r="41" spans="1:13" ht="14" x14ac:dyDescent="0.3">
      <c r="A41" s="3">
        <v>1040</v>
      </c>
      <c r="B41" s="4">
        <v>45329</v>
      </c>
      <c r="C41" s="3" t="s">
        <v>104</v>
      </c>
      <c r="D41" s="3" t="s">
        <v>21</v>
      </c>
      <c r="E41" s="3" t="s">
        <v>22</v>
      </c>
      <c r="F41" s="3" t="s">
        <v>105</v>
      </c>
      <c r="G41" s="3" t="s">
        <v>15</v>
      </c>
      <c r="H41" s="3">
        <v>1999</v>
      </c>
      <c r="I41" s="3">
        <v>1</v>
      </c>
      <c r="J41" s="3" t="s">
        <v>19</v>
      </c>
      <c r="K41" s="3">
        <v>0</v>
      </c>
      <c r="L41" s="3">
        <v>400</v>
      </c>
      <c r="M41" s="3">
        <f>Table1[[#This Row],[Unit Price]]*Table1[[#This Row],[Quantity]]</f>
        <v>1999</v>
      </c>
    </row>
    <row r="42" spans="1:13" ht="14" x14ac:dyDescent="0.3">
      <c r="A42" s="3">
        <v>1041</v>
      </c>
      <c r="B42" s="4">
        <v>45330</v>
      </c>
      <c r="C42" s="3" t="s">
        <v>106</v>
      </c>
      <c r="D42" s="3" t="s">
        <v>26</v>
      </c>
      <c r="E42" s="3" t="s">
        <v>27</v>
      </c>
      <c r="F42" s="3" t="s">
        <v>107</v>
      </c>
      <c r="G42" s="3" t="s">
        <v>15</v>
      </c>
      <c r="H42" s="3">
        <v>699</v>
      </c>
      <c r="I42" s="3">
        <v>2</v>
      </c>
      <c r="J42" s="3" t="s">
        <v>14</v>
      </c>
      <c r="K42" s="3">
        <v>0</v>
      </c>
      <c r="L42" s="3">
        <v>250</v>
      </c>
      <c r="M42" s="3">
        <f>Table1[[#This Row],[Unit Price]]*Table1[[#This Row],[Quantity]]</f>
        <v>1398</v>
      </c>
    </row>
    <row r="43" spans="1:13" ht="14" x14ac:dyDescent="0.3">
      <c r="A43" s="3">
        <v>1042</v>
      </c>
      <c r="B43" s="4">
        <v>45331</v>
      </c>
      <c r="C43" s="3" t="s">
        <v>108</v>
      </c>
      <c r="D43" s="3" t="s">
        <v>30</v>
      </c>
      <c r="E43" s="3" t="s">
        <v>12</v>
      </c>
      <c r="F43" s="3" t="s">
        <v>109</v>
      </c>
      <c r="G43" s="3" t="s">
        <v>15</v>
      </c>
      <c r="H43" s="3">
        <v>1999</v>
      </c>
      <c r="I43" s="3">
        <v>1</v>
      </c>
      <c r="J43" s="3" t="s">
        <v>19</v>
      </c>
      <c r="K43" s="3">
        <v>0</v>
      </c>
      <c r="L43" s="3">
        <v>350</v>
      </c>
      <c r="M43" s="3">
        <f>Table1[[#This Row],[Unit Price]]*Table1[[#This Row],[Quantity]]</f>
        <v>1999</v>
      </c>
    </row>
    <row r="44" spans="1:13" ht="14" x14ac:dyDescent="0.3">
      <c r="A44" s="3">
        <v>1043</v>
      </c>
      <c r="B44" s="4">
        <v>45332</v>
      </c>
      <c r="C44" s="3" t="s">
        <v>110</v>
      </c>
      <c r="D44" s="3" t="s">
        <v>34</v>
      </c>
      <c r="E44" s="3" t="s">
        <v>22</v>
      </c>
      <c r="F44" s="3" t="s">
        <v>111</v>
      </c>
      <c r="G44" s="3" t="s">
        <v>15</v>
      </c>
      <c r="H44" s="3">
        <v>299</v>
      </c>
      <c r="I44" s="3">
        <v>2</v>
      </c>
      <c r="J44" s="3" t="s">
        <v>14</v>
      </c>
      <c r="K44" s="3">
        <v>0</v>
      </c>
      <c r="L44" s="3">
        <v>90</v>
      </c>
      <c r="M44" s="3">
        <f>Table1[[#This Row],[Unit Price]]*Table1[[#This Row],[Quantity]]</f>
        <v>598</v>
      </c>
    </row>
    <row r="45" spans="1:13" ht="14" x14ac:dyDescent="0.3">
      <c r="A45" s="3">
        <v>1044</v>
      </c>
      <c r="B45" s="4">
        <v>45333</v>
      </c>
      <c r="C45" s="3" t="s">
        <v>112</v>
      </c>
      <c r="D45" s="3" t="s">
        <v>17</v>
      </c>
      <c r="E45" s="3" t="s">
        <v>27</v>
      </c>
      <c r="F45" s="3" t="s">
        <v>113</v>
      </c>
      <c r="G45" s="3" t="s">
        <v>15</v>
      </c>
      <c r="H45" s="3">
        <v>499</v>
      </c>
      <c r="I45" s="3">
        <v>3</v>
      </c>
      <c r="J45" s="3" t="s">
        <v>24</v>
      </c>
      <c r="K45" s="3">
        <v>0</v>
      </c>
      <c r="L45" s="3">
        <v>200</v>
      </c>
      <c r="M45" s="3">
        <f>Table1[[#This Row],[Unit Price]]*Table1[[#This Row],[Quantity]]</f>
        <v>1497</v>
      </c>
    </row>
    <row r="46" spans="1:13" ht="14" x14ac:dyDescent="0.3">
      <c r="A46" s="3">
        <v>1045</v>
      </c>
      <c r="B46" s="4">
        <v>45334</v>
      </c>
      <c r="C46" s="3" t="s">
        <v>114</v>
      </c>
      <c r="D46" s="3" t="s">
        <v>11</v>
      </c>
      <c r="E46" s="3" t="s">
        <v>12</v>
      </c>
      <c r="F46" s="3" t="s">
        <v>115</v>
      </c>
      <c r="G46" s="3" t="s">
        <v>15</v>
      </c>
      <c r="H46" s="3">
        <v>1299</v>
      </c>
      <c r="I46" s="3">
        <v>1</v>
      </c>
      <c r="J46" s="3" t="s">
        <v>14</v>
      </c>
      <c r="K46" s="3">
        <v>5</v>
      </c>
      <c r="L46" s="3">
        <v>250</v>
      </c>
      <c r="M46" s="3">
        <f>Table1[[#This Row],[Unit Price]]*Table1[[#This Row],[Quantity]]</f>
        <v>1299</v>
      </c>
    </row>
    <row r="47" spans="1:13" ht="14" x14ac:dyDescent="0.3">
      <c r="A47" s="3">
        <v>1046</v>
      </c>
      <c r="B47" s="4">
        <v>45335</v>
      </c>
      <c r="C47" s="3" t="s">
        <v>116</v>
      </c>
      <c r="D47" s="3" t="s">
        <v>21</v>
      </c>
      <c r="E47" s="3" t="s">
        <v>22</v>
      </c>
      <c r="F47" s="3" t="s">
        <v>117</v>
      </c>
      <c r="G47" s="3" t="s">
        <v>15</v>
      </c>
      <c r="H47" s="3">
        <v>2499</v>
      </c>
      <c r="I47" s="3">
        <v>1</v>
      </c>
      <c r="J47" s="3" t="s">
        <v>19</v>
      </c>
      <c r="K47" s="3">
        <v>10</v>
      </c>
      <c r="L47" s="3">
        <v>550</v>
      </c>
      <c r="M47" s="3">
        <f>Table1[[#This Row],[Unit Price]]*Table1[[#This Row],[Quantity]]</f>
        <v>2499</v>
      </c>
    </row>
    <row r="48" spans="1:13" ht="14" x14ac:dyDescent="0.3">
      <c r="A48" s="3">
        <v>1047</v>
      </c>
      <c r="B48" s="4">
        <v>45336</v>
      </c>
      <c r="C48" s="3" t="s">
        <v>118</v>
      </c>
      <c r="D48" s="3" t="s">
        <v>26</v>
      </c>
      <c r="E48" s="3" t="s">
        <v>27</v>
      </c>
      <c r="F48" s="3" t="s">
        <v>119</v>
      </c>
      <c r="G48" s="3" t="s">
        <v>15</v>
      </c>
      <c r="H48" s="3">
        <v>399</v>
      </c>
      <c r="I48" s="3">
        <v>5</v>
      </c>
      <c r="J48" s="3" t="s">
        <v>24</v>
      </c>
      <c r="K48" s="3">
        <v>0</v>
      </c>
      <c r="L48" s="3">
        <v>350</v>
      </c>
      <c r="M48" s="3">
        <f>Table1[[#This Row],[Unit Price]]*Table1[[#This Row],[Quantity]]</f>
        <v>1995</v>
      </c>
    </row>
    <row r="49" spans="1:13" ht="14" x14ac:dyDescent="0.3">
      <c r="A49" s="3">
        <v>1048</v>
      </c>
      <c r="B49" s="4">
        <v>45337</v>
      </c>
      <c r="C49" s="3" t="s">
        <v>120</v>
      </c>
      <c r="D49" s="3" t="s">
        <v>30</v>
      </c>
      <c r="E49" s="3" t="s">
        <v>12</v>
      </c>
      <c r="F49" s="3" t="s">
        <v>121</v>
      </c>
      <c r="G49" s="3" t="s">
        <v>15</v>
      </c>
      <c r="H49" s="3">
        <v>24999</v>
      </c>
      <c r="I49" s="3">
        <v>1</v>
      </c>
      <c r="J49" s="3" t="s">
        <v>14</v>
      </c>
      <c r="K49" s="3">
        <v>10</v>
      </c>
      <c r="L49" s="3">
        <v>5000</v>
      </c>
      <c r="M49" s="3">
        <f>Table1[[#This Row],[Unit Price]]*Table1[[#This Row],[Quantity]]</f>
        <v>24999</v>
      </c>
    </row>
    <row r="50" spans="1:13" ht="14" x14ac:dyDescent="0.3">
      <c r="A50" s="3">
        <v>1049</v>
      </c>
      <c r="B50" s="4">
        <v>45338</v>
      </c>
      <c r="C50" s="3" t="s">
        <v>122</v>
      </c>
      <c r="D50" s="3" t="s">
        <v>34</v>
      </c>
      <c r="E50" s="3" t="s">
        <v>22</v>
      </c>
      <c r="F50" s="3" t="s">
        <v>123</v>
      </c>
      <c r="G50" s="3" t="s">
        <v>15</v>
      </c>
      <c r="H50" s="3">
        <v>499</v>
      </c>
      <c r="I50" s="3">
        <v>2</v>
      </c>
      <c r="J50" s="3" t="s">
        <v>19</v>
      </c>
      <c r="K50" s="3">
        <v>0</v>
      </c>
      <c r="L50" s="3">
        <v>150</v>
      </c>
      <c r="M50" s="3">
        <f>Table1[[#This Row],[Unit Price]]*Table1[[#This Row],[Quantity]]</f>
        <v>998</v>
      </c>
    </row>
    <row r="51" spans="1:13" ht="14" x14ac:dyDescent="0.3">
      <c r="A51" s="3">
        <v>1050</v>
      </c>
      <c r="B51" s="4">
        <v>45339</v>
      </c>
      <c r="C51" s="3" t="s">
        <v>124</v>
      </c>
      <c r="D51" s="3" t="s">
        <v>17</v>
      </c>
      <c r="E51" s="3" t="s">
        <v>27</v>
      </c>
      <c r="F51" s="3" t="s">
        <v>125</v>
      </c>
      <c r="G51" s="3" t="s">
        <v>15</v>
      </c>
      <c r="H51" s="3">
        <v>999</v>
      </c>
      <c r="I51" s="3">
        <v>1</v>
      </c>
      <c r="J51" s="3" t="s">
        <v>14</v>
      </c>
      <c r="K51" s="3">
        <v>5</v>
      </c>
      <c r="L51" s="3">
        <v>180</v>
      </c>
      <c r="M51" s="3">
        <f>Table1[[#This Row],[Unit Price]]*Table1[[#This Row],[Quantity]]</f>
        <v>999</v>
      </c>
    </row>
  </sheetData>
  <conditionalFormatting sqref="H1:H1048576">
    <cfRule type="cellIs" dxfId="1" priority="7" operator="greaterThan">
      <formula>1500</formula>
    </cfRule>
    <cfRule type="cellIs" dxfId="0" priority="8" operator="greaterThan">
      <formula>1000</formula>
    </cfRule>
  </conditionalFormatting>
  <conditionalFormatting sqref="I1:I1048576">
    <cfRule type="dataBar" priority="3">
      <dataBar>
        <cfvo type="min"/>
        <cfvo type="max"/>
        <color rgb="FFFF555A"/>
      </dataBar>
      <extLst>
        <ext xmlns:x14="http://schemas.microsoft.com/office/spreadsheetml/2009/9/main" uri="{B025F937-C7B1-47D3-B67F-A62EFF666E3E}">
          <x14:id>{E9BF496F-F5A8-4C4B-BB63-E149561D5420}</x14:id>
        </ext>
      </extLst>
    </cfRule>
  </conditionalFormatting>
  <conditionalFormatting sqref="L1:L1048576">
    <cfRule type="dataBar" priority="1">
      <dataBar>
        <cfvo type="min"/>
        <cfvo type="max"/>
        <color rgb="FFD6007B"/>
      </dataBar>
      <extLst>
        <ext xmlns:x14="http://schemas.microsoft.com/office/spreadsheetml/2009/9/main" uri="{B025F937-C7B1-47D3-B67F-A62EFF666E3E}">
          <x14:id>{3133956E-B98E-4F35-8AB1-0D736B57B55C}</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6" id="{3A054F03-9976-4A6D-97E4-1E3CFB7698E3}">
            <x14:iconSet iconSet="5Boxes">
              <x14:cfvo type="percent">
                <xm:f>0</xm:f>
              </x14:cfvo>
              <x14:cfvo type="percent">
                <xm:f>20</xm:f>
              </x14:cfvo>
              <x14:cfvo type="percent">
                <xm:f>40</xm:f>
              </x14:cfvo>
              <x14:cfvo type="percent">
                <xm:f>60</xm:f>
              </x14:cfvo>
              <x14:cfvo type="percent">
                <xm:f>80</xm:f>
              </x14:cfvo>
            </x14:iconSet>
          </x14:cfRule>
          <xm:sqref>F1:F1048576</xm:sqref>
        </x14:conditionalFormatting>
        <x14:conditionalFormatting xmlns:xm="http://schemas.microsoft.com/office/excel/2006/main">
          <x14:cfRule type="dataBar" id="{E9BF496F-F5A8-4C4B-BB63-E149561D5420}">
            <x14:dataBar minLength="0" maxLength="100" border="1" negativeBarBorderColorSameAsPositive="0">
              <x14:cfvo type="autoMin"/>
              <x14:cfvo type="autoMax"/>
              <x14:borderColor rgb="FFFF555A"/>
              <x14:negativeFillColor rgb="FFFF0000"/>
              <x14:negativeBorderColor rgb="FFFF0000"/>
              <x14:axisColor rgb="FF000000"/>
            </x14:dataBar>
          </x14:cfRule>
          <xm:sqref>I1:I1048576</xm:sqref>
        </x14:conditionalFormatting>
        <x14:conditionalFormatting xmlns:xm="http://schemas.microsoft.com/office/excel/2006/main">
          <x14:cfRule type="dataBar" id="{3133956E-B98E-4F35-8AB1-0D736B57B55C}">
            <x14:dataBar minLength="0" maxLength="100" gradient="0">
              <x14:cfvo type="autoMin"/>
              <x14:cfvo type="autoMax"/>
              <x14:negativeFillColor rgb="FFFF0000"/>
              <x14:axisColor rgb="FF000000"/>
            </x14:dataBar>
          </x14:cfRule>
          <xm:sqref>L1:L1048576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72E02-FC87-462D-9D3B-3A735B621449}">
  <dimension ref="B3:M22"/>
  <sheetViews>
    <sheetView topLeftCell="D7" workbookViewId="0">
      <selection activeCell="I18" sqref="I18:M23"/>
    </sheetView>
  </sheetViews>
  <sheetFormatPr defaultRowHeight="13.5" x14ac:dyDescent="0.25"/>
  <cols>
    <col min="2" max="2" width="12.83203125" bestFit="1" customWidth="1"/>
    <col min="3" max="3" width="16.5" bestFit="1" customWidth="1"/>
    <col min="6" max="6" width="12.83203125" bestFit="1" customWidth="1"/>
    <col min="7" max="7" width="16.4140625" bestFit="1" customWidth="1"/>
    <col min="8" max="8" width="14.83203125" customWidth="1"/>
    <col min="9" max="9" width="12.83203125" bestFit="1" customWidth="1"/>
    <col min="10" max="10" width="20.58203125" bestFit="1" customWidth="1"/>
    <col min="11" max="11" width="4.9140625" bestFit="1" customWidth="1"/>
    <col min="12" max="12" width="3.4140625" bestFit="1" customWidth="1"/>
    <col min="13" max="13" width="11.08203125" bestFit="1" customWidth="1"/>
  </cols>
  <sheetData>
    <row r="3" spans="2:10" x14ac:dyDescent="0.25">
      <c r="B3" s="5" t="s">
        <v>129</v>
      </c>
      <c r="C3" t="s">
        <v>132</v>
      </c>
      <c r="F3" s="5" t="s">
        <v>129</v>
      </c>
      <c r="G3" t="s">
        <v>132</v>
      </c>
    </row>
    <row r="4" spans="2:10" x14ac:dyDescent="0.25">
      <c r="B4" s="6" t="s">
        <v>22</v>
      </c>
      <c r="C4" s="8">
        <v>1078.5999999999999</v>
      </c>
      <c r="F4" s="6" t="s">
        <v>24</v>
      </c>
      <c r="G4" s="8">
        <v>1995</v>
      </c>
    </row>
    <row r="5" spans="2:10" x14ac:dyDescent="0.25">
      <c r="B5" s="6" t="s">
        <v>27</v>
      </c>
      <c r="C5" s="8">
        <v>1797.4285714285713</v>
      </c>
      <c r="F5" s="6" t="s">
        <v>19</v>
      </c>
      <c r="G5" s="8">
        <v>1398.1666666666667</v>
      </c>
    </row>
    <row r="6" spans="2:10" x14ac:dyDescent="0.25">
      <c r="B6" s="6" t="s">
        <v>130</v>
      </c>
      <c r="C6" s="8">
        <v>1497.9166666666667</v>
      </c>
      <c r="F6" s="6" t="s">
        <v>14</v>
      </c>
      <c r="G6" s="8">
        <v>1518.2</v>
      </c>
    </row>
    <row r="7" spans="2:10" x14ac:dyDescent="0.25">
      <c r="F7" s="6" t="s">
        <v>130</v>
      </c>
      <c r="G7" s="8">
        <v>1497.9166666666667</v>
      </c>
    </row>
    <row r="11" spans="2:10" x14ac:dyDescent="0.25">
      <c r="B11" s="5" t="s">
        <v>129</v>
      </c>
      <c r="C11" t="s">
        <v>131</v>
      </c>
      <c r="F11" s="5" t="s">
        <v>129</v>
      </c>
      <c r="G11" t="s">
        <v>134</v>
      </c>
      <c r="I11" s="5" t="s">
        <v>129</v>
      </c>
      <c r="J11" t="s">
        <v>132</v>
      </c>
    </row>
    <row r="12" spans="2:10" x14ac:dyDescent="0.25">
      <c r="B12" s="6" t="s">
        <v>11</v>
      </c>
      <c r="C12" s="8">
        <v>6392</v>
      </c>
      <c r="F12" s="6" t="s">
        <v>11</v>
      </c>
      <c r="G12" s="8">
        <v>4</v>
      </c>
      <c r="I12" s="6" t="s">
        <v>138</v>
      </c>
      <c r="J12" s="8">
        <v>1669.5714285714287</v>
      </c>
    </row>
    <row r="13" spans="2:10" x14ac:dyDescent="0.25">
      <c r="B13" s="6" t="s">
        <v>34</v>
      </c>
      <c r="C13" s="8">
        <v>1596</v>
      </c>
      <c r="F13" s="6" t="s">
        <v>34</v>
      </c>
      <c r="G13" s="8">
        <v>2</v>
      </c>
      <c r="I13" s="6" t="s">
        <v>137</v>
      </c>
      <c r="J13" s="8">
        <v>1257.5999999999999</v>
      </c>
    </row>
    <row r="14" spans="2:10" x14ac:dyDescent="0.25">
      <c r="B14" s="6" t="s">
        <v>26</v>
      </c>
      <c r="C14" s="8">
        <v>9987</v>
      </c>
      <c r="F14" s="6" t="s">
        <v>26</v>
      </c>
      <c r="G14" s="8">
        <v>6</v>
      </c>
      <c r="I14" s="6" t="s">
        <v>130</v>
      </c>
      <c r="J14" s="8">
        <v>1497.9166666666667</v>
      </c>
    </row>
    <row r="15" spans="2:10" x14ac:dyDescent="0.25">
      <c r="B15" s="6" t="s">
        <v>130</v>
      </c>
      <c r="C15" s="8">
        <v>17975</v>
      </c>
      <c r="F15" s="6" t="s">
        <v>130</v>
      </c>
      <c r="G15" s="8">
        <v>12</v>
      </c>
    </row>
    <row r="18" spans="9:13" x14ac:dyDescent="0.25">
      <c r="I18" s="5" t="s">
        <v>133</v>
      </c>
      <c r="J18" s="5" t="s">
        <v>135</v>
      </c>
    </row>
    <row r="19" spans="9:13" x14ac:dyDescent="0.25">
      <c r="I19" s="5" t="s">
        <v>129</v>
      </c>
      <c r="J19" t="s">
        <v>24</v>
      </c>
      <c r="K19" t="s">
        <v>19</v>
      </c>
      <c r="L19" t="s">
        <v>14</v>
      </c>
      <c r="M19" t="s">
        <v>130</v>
      </c>
    </row>
    <row r="20" spans="9:13" x14ac:dyDescent="0.25">
      <c r="I20" s="6" t="s">
        <v>22</v>
      </c>
      <c r="J20" s="8"/>
      <c r="K20" s="8">
        <v>0</v>
      </c>
      <c r="L20" s="8">
        <v>0</v>
      </c>
      <c r="M20" s="8">
        <v>0</v>
      </c>
    </row>
    <row r="21" spans="9:13" x14ac:dyDescent="0.25">
      <c r="I21" s="6" t="s">
        <v>27</v>
      </c>
      <c r="J21" s="8">
        <v>0</v>
      </c>
      <c r="K21" s="8">
        <v>10</v>
      </c>
      <c r="L21" s="8">
        <v>10</v>
      </c>
      <c r="M21" s="8">
        <v>20</v>
      </c>
    </row>
    <row r="22" spans="9:13" x14ac:dyDescent="0.25">
      <c r="I22" s="6" t="s">
        <v>130</v>
      </c>
      <c r="J22" s="8">
        <v>0</v>
      </c>
      <c r="K22" s="8">
        <v>10</v>
      </c>
      <c r="L22" s="8">
        <v>10</v>
      </c>
      <c r="M22" s="8">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F2B2C-CF8E-4E32-BBA3-5A1906F51B3E}">
  <dimension ref="A1:AG7"/>
  <sheetViews>
    <sheetView showGridLines="0" showRowColHeaders="0" tabSelected="1" topLeftCell="E1" zoomScale="60" zoomScaleNormal="60" workbookViewId="0">
      <selection activeCell="C73" sqref="C73"/>
    </sheetView>
  </sheetViews>
  <sheetFormatPr defaultRowHeight="14" x14ac:dyDescent="0.3"/>
  <cols>
    <col min="1" max="16384" width="8.6640625" style="3"/>
  </cols>
  <sheetData>
    <row r="1" spans="1:33" ht="14" customHeight="1" x14ac:dyDescent="0.3">
      <c r="A1" s="7" t="s">
        <v>136</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row>
    <row r="2" spans="1:33" ht="14" customHeight="1"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row>
    <row r="3" spans="1:33" ht="14"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row>
    <row r="4" spans="1:33" ht="14" customHeight="1"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row>
    <row r="5" spans="1:33"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row>
    <row r="6" spans="1:33"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row>
    <row r="7" spans="1:33"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row>
  </sheetData>
  <mergeCells count="1">
    <mergeCell ref="A1:A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3420</dc:creator>
  <cp:lastModifiedBy>KORA KASI OBUL REDDY</cp:lastModifiedBy>
  <dcterms:created xsi:type="dcterms:W3CDTF">2025-11-25T10:54:33Z</dcterms:created>
  <dcterms:modified xsi:type="dcterms:W3CDTF">2025-11-28T10:23:04Z</dcterms:modified>
</cp:coreProperties>
</file>