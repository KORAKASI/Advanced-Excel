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Data Analytics\Excel\"/>
    </mc:Choice>
  </mc:AlternateContent>
  <xr:revisionPtr revIDLastSave="0" documentId="13_ncr:1_{635CBE9D-A71B-417B-9A7A-212033950B8B}" xr6:coauthVersionLast="47" xr6:coauthVersionMax="47" xr10:uidLastSave="{00000000-0000-0000-0000-000000000000}"/>
  <bookViews>
    <workbookView xWindow="-110" yWindow="-110" windowWidth="19420" windowHeight="10300" activeTab="1" xr2:uid="{00000000-000D-0000-FFFF-FFFF00000000}"/>
  </bookViews>
  <sheets>
    <sheet name="Agricultural_Crop_Yield" sheetId="1" r:id="rId1"/>
    <sheet name="Dashboard" sheetId="3" r:id="rId2"/>
    <sheet name="Pivot_Table" sheetId="2" r:id="rId3"/>
  </sheets>
  <definedNames>
    <definedName name="_xlchart.v2.4" hidden="1">Pivot_Table!$J$15:$J$19</definedName>
    <definedName name="_xlchart.v2.5" hidden="1">Pivot_Table!$K$14</definedName>
    <definedName name="_xlchart.v2.6" hidden="1">Pivot_Table!$K$15:$K$19</definedName>
    <definedName name="_xlchart.v5.0" hidden="1">Pivot_Table!$D$3</definedName>
    <definedName name="_xlchart.v5.1" hidden="1">Pivot_Table!$D$4:$D$10</definedName>
    <definedName name="_xlchart.v5.2" hidden="1">Pivot_Table!$E$3</definedName>
    <definedName name="_xlchart.v5.3" hidden="1">Pivot_Table!$E$4:$E$10</definedName>
    <definedName name="NativeTimeline_Date">#N/A</definedName>
    <definedName name="Slicer_Crop_Name">#N/A</definedName>
    <definedName name="Slicer_Irrigation_Type">#N/A</definedName>
    <definedName name="Slicer_Soil_Type">#N/A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6" i="3" l="1"/>
  <c r="Q29" i="2"/>
</calcChain>
</file>

<file path=xl/sharedStrings.xml><?xml version="1.0" encoding="utf-8"?>
<sst xmlns="http://schemas.openxmlformats.org/spreadsheetml/2006/main" count="4109" uniqueCount="577">
  <si>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</si>
  <si>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</si>
  <si>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</si>
  <si>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</si>
  <si>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</si>
  <si>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</si>
  <si>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</si>
  <si>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</si>
  <si>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</si>
  <si>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</si>
  <si>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</si>
  <si>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</si>
  <si>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</si>
  <si>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</si>
  <si>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</si>
  <si>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</si>
  <si>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</si>
  <si>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</si>
  <si>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</si>
  <si>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</si>
  <si>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</si>
  <si>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</si>
  <si>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</si>
  <si>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</si>
  <si>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</si>
  <si>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</si>
  <si>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</si>
  <si>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</si>
  <si>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</si>
  <si>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</si>
  <si>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</si>
  <si>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</si>
  <si>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</si>
  <si>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</si>
  <si>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</si>
  <si>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</si>
  <si>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</si>
  <si>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</si>
  <si>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</si>
  <si>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</si>
  <si>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</si>
  <si>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</si>
  <si>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</si>
  <si>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</si>
  <si>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</si>
  <si>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</si>
  <si>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</si>
  <si>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</si>
  <si>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</si>
  <si>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</si>
  <si>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</si>
  <si>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</si>
  <si>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</si>
  <si>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</si>
  <si>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</si>
  <si>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</si>
  <si>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</si>
  <si>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</si>
  <si>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</si>
  <si>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</si>
  <si>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</si>
  <si>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</si>
  <si>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</si>
  <si>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</si>
  <si>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</si>
  <si>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</si>
  <si>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</si>
  <si>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</si>
  <si>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</si>
  <si>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</si>
  <si>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</si>
  <si>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</si>
  <si>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</si>
  <si>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</si>
  <si>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</si>
  <si>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</si>
  <si>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</si>
  <si>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</si>
  <si>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</si>
  <si>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</si>
  <si>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</si>
  <si>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</si>
  <si>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</si>
  <si>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</si>
  <si>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</si>
  <si>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</si>
  <si>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</si>
  <si>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</si>
  <si>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</si>
  <si>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</si>
  <si>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</si>
  <si>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</si>
  <si>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</si>
  <si>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</si>
  <si>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</si>
  <si>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</si>
  <si>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</si>
  <si>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</si>
  <si>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</si>
  <si>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</si>
  <si>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</si>
  <si>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</si>
  <si>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</si>
  <si>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</si>
  <si>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</si>
  <si>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</si>
  <si>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</si>
  <si>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</si>
  <si>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</si>
  <si>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</si>
  <si>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</si>
  <si>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</si>
  <si>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</si>
  <si>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</si>
  <si>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</si>
  <si>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</si>
  <si>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</si>
  <si>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</si>
  <si>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</si>
  <si>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</si>
  <si>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</si>
  <si>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</si>
  <si>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</si>
  <si>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</si>
  <si>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</si>
  <si>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</si>
  <si>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</si>
  <si>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</si>
  <si>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</si>
  <si>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</si>
  <si>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</si>
  <si>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</si>
  <si>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</si>
  <si>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</si>
  <si>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</si>
  <si>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</si>
  <si>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</si>
  <si>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</si>
  <si>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</si>
  <si>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</si>
  <si>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</si>
  <si>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</si>
  <si>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</si>
  <si>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</si>
  <si>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</si>
  <si>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</si>
  <si>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</si>
  <si>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</si>
  <si>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</si>
  <si>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</si>
  <si>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</si>
  <si>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</si>
  <si>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</si>
  <si>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</si>
  <si>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</si>
  <si>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</si>
  <si>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</si>
  <si>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</si>
  <si>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</si>
  <si>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</si>
  <si>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</si>
  <si>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</si>
  <si>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</si>
  <si>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</si>
  <si>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</si>
  <si>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</si>
  <si>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</si>
  <si>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</si>
  <si>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</si>
  <si>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</si>
  <si>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</si>
  <si>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</si>
  <si>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</si>
  <si>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</si>
  <si>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</si>
  <si>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</si>
  <si>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</si>
  <si>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</si>
  <si>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</si>
  <si>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</si>
  <si>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</si>
  <si>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</si>
  <si>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</si>
  <si>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</si>
  <si>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</si>
  <si>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</si>
  <si>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</si>
  <si>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</si>
  <si>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</si>
  <si>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</si>
  <si>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</si>
  <si>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</si>
  <si>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</si>
  <si>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</si>
  <si>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</si>
  <si>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</si>
  <si>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</si>
  <si>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</si>
  <si>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</si>
  <si>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</si>
  <si>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</si>
  <si>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</si>
  <si>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</si>
  <si>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</si>
  <si>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</si>
  <si>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</si>
  <si>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</si>
  <si>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</si>
  <si>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</si>
  <si>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</si>
  <si>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</si>
  <si>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</si>
  <si>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</si>
  <si>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</si>
  <si>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</si>
  <si>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</si>
  <si>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</si>
  <si>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</si>
  <si>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</si>
  <si>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</si>
  <si>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</si>
  <si>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</si>
  <si>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</si>
  <si>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</si>
  <si>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</si>
  <si>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</si>
  <si>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</si>
  <si>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</si>
  <si>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</si>
  <si>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</si>
  <si>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</si>
  <si>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</si>
  <si>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</si>
  <si>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</si>
  <si>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</si>
  <si>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</si>
  <si>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</si>
  <si>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</si>
  <si>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</si>
  <si>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</si>
  <si>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</si>
  <si>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</si>
  <si>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</si>
  <si>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</si>
  <si>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</si>
  <si>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</si>
  <si>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</si>
  <si>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</si>
  <si>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</si>
  <si>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</si>
  <si>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</si>
  <si>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</si>
  <si>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</si>
  <si>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</si>
  <si>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</si>
  <si>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</si>
  <si>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</si>
  <si>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</si>
  <si>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</si>
  <si>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</si>
  <si>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</si>
  <si>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</si>
  <si>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</si>
  <si>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</si>
  <si>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</si>
  <si>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</si>
  <si>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</si>
  <si>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</si>
  <si>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</si>
  <si>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</si>
  <si>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</si>
  <si>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</si>
  <si>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</si>
  <si>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</si>
  <si>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</si>
  <si>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</si>
  <si>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</si>
  <si>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</si>
  <si>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</si>
  <si>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</si>
  <si>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</si>
  <si>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</si>
  <si>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</si>
  <si>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</si>
  <si>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</si>
  <si>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</si>
  <si>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</si>
  <si>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</si>
  <si>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</si>
  <si>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</si>
  <si>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</si>
  <si>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</si>
  <si>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</si>
  <si>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</si>
  <si>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</si>
  <si>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</si>
  <si>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</si>
  <si>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</si>
  <si>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</si>
  <si>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</si>
  <si>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</si>
  <si>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</si>
  <si>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</si>
  <si>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</si>
  <si>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</si>
  <si>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</si>
  <si>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</si>
  <si>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</si>
  <si>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</si>
  <si>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</si>
  <si>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</si>
  <si>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</si>
  <si>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</si>
  <si>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</si>
  <si>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</si>
  <si>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</si>
  <si>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</si>
  <si>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</si>
  <si>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</si>
  <si>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</si>
  <si>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</si>
  <si>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</si>
  <si>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</si>
  <si>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</si>
  <si>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</si>
  <si>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</si>
  <si>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</si>
  <si>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</si>
  <si>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</si>
  <si>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</si>
  <si>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</si>
  <si>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</si>
  <si>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</si>
  <si>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</si>
  <si>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</si>
  <si>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</si>
  <si>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</si>
  <si>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</si>
  <si>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</si>
  <si>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</si>
  <si>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</si>
  <si>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</si>
  <si>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</si>
  <si>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</si>
  <si>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</si>
  <si>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</si>
  <si>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</si>
  <si>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</si>
  <si>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</si>
  <si>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</si>
  <si>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</si>
  <si>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</si>
  <si>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</si>
  <si>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</si>
  <si>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</si>
  <si>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</si>
  <si>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</si>
  <si>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</si>
  <si>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</si>
  <si>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</si>
  <si>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</si>
  <si>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</si>
  <si>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</si>
  <si>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</si>
  <si>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</si>
  <si>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</si>
  <si>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</si>
  <si>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</si>
  <si>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</si>
  <si>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</si>
  <si>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</si>
  <si>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</si>
  <si>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</si>
  <si>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</si>
  <si>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</si>
  <si>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</si>
  <si>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</si>
  <si>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</si>
  <si>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</si>
  <si>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</si>
  <si>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</si>
  <si>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</si>
  <si>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</si>
  <si>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</si>
  <si>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</si>
  <si>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</si>
  <si>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</si>
  <si>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</si>
  <si>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</si>
  <si>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</si>
  <si>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</si>
  <si>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</si>
  <si>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</si>
  <si>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</si>
  <si>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</si>
  <si>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</si>
  <si>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</si>
  <si>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</si>
  <si>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</si>
  <si>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</si>
  <si>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</si>
  <si>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</si>
  <si>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</si>
  <si>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</si>
  <si>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</si>
  <si>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</si>
  <si>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</si>
  <si>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</si>
  <si>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</si>
  <si>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</si>
  <si>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</si>
  <si>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</si>
  <si>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</si>
  <si>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</si>
  <si>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</si>
  <si>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</si>
  <si>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</si>
  <si>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</si>
  <si>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</si>
  <si>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</si>
  <si>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</si>
  <si>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</si>
  <si>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</si>
  <si>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</si>
  <si>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</si>
  <si>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</si>
  <si>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</si>
  <si>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</si>
  <si>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</si>
  <si>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</si>
  <si>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</si>
  <si>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</si>
  <si>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</si>
  <si>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</si>
  <si>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</si>
  <si>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</si>
  <si>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</si>
  <si>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</si>
  <si>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</si>
  <si>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</si>
  <si>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</si>
  <si>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</si>
  <si>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</si>
  <si>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</si>
  <si>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</si>
  <si>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</si>
  <si>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</si>
  <si>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</si>
  <si>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</si>
  <si>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</si>
  <si>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</si>
  <si>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</si>
  <si>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</si>
  <si>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</si>
  <si>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</si>
  <si>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</si>
  <si>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</si>
  <si>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</si>
  <si>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</si>
  <si>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</si>
  <si>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</si>
  <si>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</si>
  <si>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</si>
  <si>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</si>
  <si>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</si>
  <si>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</si>
  <si>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</si>
  <si>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</si>
  <si>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</si>
  <si>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</si>
  <si>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</si>
  <si>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</si>
  <si>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</si>
  <si>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</si>
  <si>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</si>
  <si>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</si>
  <si>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</si>
  <si>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</si>
  <si>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</si>
  <si>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</si>
  <si>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</si>
  <si>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</si>
  <si>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</si>
  <si>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</si>
  <si>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</si>
  <si>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</si>
  <si>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</si>
  <si>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</si>
  <si>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</si>
  <si>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</si>
  <si>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</si>
  <si>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</si>
  <si>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</si>
  <si>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</si>
  <si>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</si>
  <si>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</si>
  <si>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</si>
  <si>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</si>
  <si>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</si>
  <si>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</si>
  <si>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</si>
  <si>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</si>
  <si>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</si>
  <si>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</si>
  <si>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</si>
  <si>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</si>
  <si>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</si>
  <si>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</si>
  <si>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</si>
  <si>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</si>
  <si>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</si>
  <si>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</si>
  <si>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</si>
  <si>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</si>
  <si>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</si>
  <si>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</si>
  <si>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</si>
  <si>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</si>
  <si>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</si>
  <si>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</si>
  <si>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</si>
  <si>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</si>
  <si>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</si>
  <si>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</si>
  <si>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</si>
  <si>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</si>
  <si>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</si>
  <si>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</si>
  <si>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</si>
  <si>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</si>
  <si>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</si>
  <si>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</si>
  <si>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</si>
  <si>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</si>
  <si>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</si>
  <si>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</si>
  <si>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</si>
  <si>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</si>
  <si>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</si>
  <si>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</si>
  <si>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</si>
  <si>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</si>
  <si>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</si>
  <si>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</si>
  <si>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</si>
  <si>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</si>
  <si>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</si>
  <si>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</si>
  <si>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</si>
  <si>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</si>
  <si>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</si>
  <si>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</si>
  <si>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</si>
  <si>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</si>
  <si>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</si>
  <si>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</si>
  <si>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</si>
  <si>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</si>
  <si>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</si>
  <si>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</si>
  <si>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</si>
  <si>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</si>
  <si>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</si>
  <si>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</si>
  <si>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</si>
  <si>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</si>
  <si>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</si>
  <si>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Row Labels</t>
  </si>
  <si>
    <t>Grand Total</t>
  </si>
  <si>
    <t>Column Labels</t>
  </si>
  <si>
    <t>Sum of Yield (Kg/Ha)</t>
  </si>
  <si>
    <t>Average of Rainfall (mm)</t>
  </si>
  <si>
    <t>Max of Yield (Kg/Ha)</t>
  </si>
  <si>
    <t>Average of Yield (Kg/Ha)</t>
  </si>
  <si>
    <t>Average of Production (Tonnes)</t>
  </si>
  <si>
    <t xml:space="preserve"> States</t>
  </si>
  <si>
    <t>Sum of Production (Tonnes)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</si>
</sst>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5" x14ac:knownFonts="1">
    <font>
      <sz val="10"/>
      <color rgb="FF000000"/>
      <name val="Arial"/>
      <scheme val="minor"/>
    </font>
    <font>
      <sz val="10"/>
      <color theme="1"/>
      <name val="Times New Roman"/>
      <family val="1"/>
    </font>
    <font>
      <b/>
      <sz val="10"/>
      <color theme="1"/>
      <name val="Times New Roman"/>
      <family val="1"/>
    </font>
    <font>
      <b/>
      <sz val="10"/>
      <color rgb="FF000000"/>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4" fillId="0" borderId="0" xfId="0" applyFont="1"/>
    <xf numFmtId="0" fontId="0" fillId="0" borderId="0" xfId="0" applyNumberFormat="1"/>
  </cellXfs>
  <cellStyles count="1">
    <cellStyle name="Normal" xfId="0" builtinId="0"/>
  </cellStyles>
  <dxfs count="6">
    <dxf>
      <font>
        <b/>
        <sz val="11"/>
        <color theme="1"/>
      </font>
      <border>
        <left style="thin">
          <color auto="1"/>
        </left>
        <right style="thin">
          <color auto="1"/>
        </right>
        <top style="thin">
          <color auto="1"/>
        </top>
        <bottom style="thin">
          <color auto="1"/>
        </bottom>
        <vertical/>
        <horizontal/>
      </border>
    </dxf>
    <dxf>
      <font>
        <color theme="1"/>
      </font>
      <fill>
        <patternFill>
          <bgColor theme="0"/>
        </patternFill>
      </fill>
      <border diagonalUp="0" diagonalDown="0">
        <left style="thin">
          <color theme="1"/>
        </left>
        <right style="thin">
          <color theme="1"/>
        </right>
        <top style="thin">
          <color theme="1"/>
        </top>
        <bottom style="thin">
          <color theme="1"/>
        </bottom>
        <vertical/>
        <horizontal/>
      </border>
    </dxf>
    <dxf>
      <font>
        <b/>
        <sz val="11"/>
        <color theme="1"/>
      </font>
      <border>
        <vertical/>
        <horizontal/>
      </border>
    </dxf>
    <dxf>
      <font>
        <color theme="1"/>
      </font>
      <fill>
        <patternFill patternType="none">
          <bgColor auto="1"/>
        </patternFill>
      </fill>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color theme="1"/>
      </font>
      <fill>
        <patternFill patternType="solid">
          <bgColor theme="7" tint="0.79998168889431442"/>
        </patternFill>
      </fill>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StyleDark2 2" pivot="0" table="0" count="10" xr9:uid="{B3F7E878-5195-4DFE-9064-FB2DE0148D08}">
      <tableStyleElement type="wholeTable" dxfId="5"/>
      <tableStyleElement type="headerRow" dxfId="4"/>
    </tableStyle>
    <tableStyle name="TimeSlicerStyleDark3 2" pivot="0" table="0" count="9" xr9:uid="{63B9FE20-BA95-4A2B-A6C6-6E6665C72E5E}">
      <tableStyleElement type="wholeTable" dxfId="3"/>
      <tableStyleElement type="headerRow" dxfId="2"/>
    </tableStyle>
    <tableStyle name="TimeSlicerStyleLight4 2" pivot="0" table="0" count="9" xr9:uid="{05D53A60-6D3F-49E7-9659-2FB31F0891E9}">
      <tableStyleElement type="wholeTable" dxfId="1"/>
      <tableStyleElement type="headerRow" dxfId="0"/>
    </tableStyle>
  </tableStyles>
  <colors>
    <mruColors>
      <color rgb="FF003300"/>
      <color rgb="FF003399"/>
      <color rgb="FF000066"/>
      <color rgb="FFCC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7" tint="0.39994506668294322"/>
              <bgColor theme="5"/>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font>
          <border>
            <left/>
            <right/>
            <top/>
            <bottom/>
            <vertical/>
            <horizontal/>
          </border>
        </dxf>
        <dxf>
          <font>
            <sz val="9"/>
            <color theme="1"/>
          </font>
          <border>
            <left/>
            <right/>
            <top/>
            <bottom/>
            <vertical/>
            <horizontal/>
          </border>
        </dxf>
        <dxf>
          <font>
            <sz val="9"/>
            <color theme="1"/>
          </font>
          <border>
            <left/>
            <right/>
            <top/>
            <bottom/>
            <vertical/>
            <horizontal/>
          </border>
        </dxf>
        <dxf>
          <font>
            <b/>
            <i val="0"/>
            <sz val="14"/>
            <color theme="1"/>
            <name val="Times New Roman"/>
            <family val="1"/>
          </font>
          <border>
            <left/>
            <right/>
            <top/>
            <bottom/>
            <vertical/>
            <horizontal/>
          </border>
        </dxf>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6"/>
              </stop>
              <stop position="1">
                <color theme="6"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3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[Agricultural_Crop_Yield.xlsx]Pivot_Table!PivotTable1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Yield per Crop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05932101161012"/>
                  <c:h val="0.16660501504557976"/>
                </c:manualLayout>
              </c15:layout>
            </c:ext>
          </c:extLst>
        </c:dLbl>
      </c:pivotFmt>
      <c:pivotFmt>
        <c:idx val="4"/>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123323156756281"/>
                  <c:h val="0.16660501504557976"/>
                </c:manualLayout>
              </c15:layout>
            </c:ext>
          </c:extLst>
        </c:dLbl>
      </c:pivotFmt>
      <c:pivotFmt>
        <c:idx val="5"/>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934750195937596"/>
                  <c:h val="0.16660501504557976"/>
                </c:manualLayout>
              </c15:layout>
            </c:ext>
          </c:extLst>
        </c:dLbl>
      </c:pivotFmt>
      <c:pivotFmt>
        <c:idx val="6"/>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372464788101331"/>
                  <c:h val="0.16660501504557976"/>
                </c:manualLayout>
              </c15:layout>
            </c:ext>
          </c:extLst>
        </c:dLbl>
      </c:pivotFmt>
      <c:pivotFmt>
        <c:idx val="7"/>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123323156756281"/>
                  <c:h val="0.16660501504557976"/>
                </c:manualLayout>
              </c15:layout>
            </c:ext>
          </c:extLst>
        </c:dLbl>
      </c:pivotFmt>
      <c:pivotFmt>
        <c:idx val="8"/>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958717106575546"/>
                  <c:h val="0.16660501504557976"/>
                </c:manualLayout>
              </c15:layout>
            </c:ext>
          </c:extLst>
        </c:dLbl>
      </c:pivotFmt>
    </c:pivotFmts>
    <c:plotArea>
      <c:layout>
        <c:manualLayout>
          <c:layoutTarget val="inner"/>
          <c:xMode val="edge"/>
          <c:yMode val="edge"/>
          <c:x val="0.25286909852162759"/>
          <c:y val="0.16948842813839057"/>
          <c:w val="0.67024581637907332"/>
          <c:h val="0.67593249922750887"/>
        </c:manualLayout>
      </c:layout>
      <c:barChart>
        <c:barDir val="bar"/>
        <c:grouping val="clustered"/>
        <c:varyColors val="0"/>
        <c:ser>
          <c:idx val="0"/>
          <c:order val="0"/>
          <c:tx>
            <c:strRef>
              <c:f>Pivot_Table!$B$3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67F9-4B35-8E54-AF4EA5E2F3B2}"/>
              </c:ext>
            </c:extLst>
          </c:dPt>
          <c:dPt>
            <c:idx val="1"/>
            <c:invertIfNegative val="0"/>
            <c:bubble3D val="0"/>
          </c:dPt>
          <c:dPt>
            <c:idx val="2"/>
            <c:invertIfNegative val="0"/>
            <c:bubble3D val="0"/>
          </c:dPt>
          <c:dPt>
            <c:idx val="3"/>
            <c:invertIfNegative val="0"/>
            <c:bubble3D val="0"/>
          </c:dPt>
          <c:dPt>
            <c:idx val="4"/>
            <c:invertIfNegative val="0"/>
            <c:bubble3D val="0"/>
            <c:spPr>
              <a:solidFill>
                <a:schemeClr val="accent2"/>
              </a:solidFill>
              <a:ln>
                <a:noFill/>
              </a:ln>
              <a:effectLst/>
            </c:spPr>
          </c:dPt>
          <c:dPt>
            <c:idx val="5"/>
            <c:invertIfNegative val="0"/>
            <c:bubble3D val="0"/>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9123323156756281"/>
                      <c:h val="0.16660501504557976"/>
                    </c:manualLayout>
                  </c15:layout>
                </c:ext>
                <c:ext xmlns:c16="http://schemas.microsoft.com/office/drawing/2014/chart" uri="{C3380CC4-5D6E-409C-BE32-E72D297353CC}">
                  <c16:uniqueId val="{00000002-67F9-4B35-8E54-AF4EA5E2F3B2}"/>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605932101161012"/>
                      <c:h val="0.16660501504557976"/>
                    </c:manualLayout>
                  </c15:layout>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934750195937596"/>
                      <c:h val="0.16660501504557976"/>
                    </c:manualLayout>
                  </c15:layout>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7372464788101331"/>
                      <c:h val="0.16660501504557976"/>
                    </c:manualLayout>
                  </c15:layout>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1958717106575546"/>
                      <c:h val="0.16660501504557976"/>
                    </c:manualLayout>
                  </c15:layout>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29123323156756281"/>
                      <c:h val="0.16660501504557976"/>
                    </c:manualLayout>
                  </c15:layout>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Pivot_Table!$A$4:$A$10</c:f>
              <c:strCache>
                <c:ptCount val="6"/>
                <c:pt idx="0">
                  <c:v>Cotton</c:v>
                </c:pt>
                <c:pt idx="1">
                  <c:v>Maize</c:v>
                </c:pt>
                <c:pt idx="2">
                  <c:v>Pulses</c:v>
                </c:pt>
                <c:pt idx="3">
                  <c:v>Rice</c:v>
                </c:pt>
                <c:pt idx="4">
                  <c:v>Sugarcane</c:v>
                </c:pt>
                <c:pt idx="5">
                  <c:v>Wheat</c:v>
                </c:pt>
              </c:strCache>
            </c:strRef>
          </c:cat>
          <c:val>
            <c:numRef>
              <c:f>Pivot_Table!$B$4:$B$10</c:f>
              <c:numCache>
                <c:formatCode>General</c:formatCode>
                <c:ptCount val="6"/>
                <c:pt idx="0">
                  <c:v>3872.9884615384613</c:v>
                </c:pt>
                <c:pt idx="1">
                  <c:v>3952.4343243243247</c:v>
                </c:pt>
                <c:pt idx="2">
                  <c:v>4188.0214285714283</c:v>
                </c:pt>
                <c:pt idx="3">
                  <c:v>3723.4770129870126</c:v>
                </c:pt>
                <c:pt idx="4">
                  <c:v>4108.4250000000011</c:v>
                </c:pt>
                <c:pt idx="5">
                  <c:v>4097.2860714285707</c:v>
                </c:pt>
              </c:numCache>
            </c:numRef>
          </c:val>
          <c:extLst>
            <c:ext xmlns:c16="http://schemas.microsoft.com/office/drawing/2014/chart" uri="{C3380CC4-5D6E-409C-BE32-E72D297353CC}">
              <c16:uniqueId val="{00000000-AFFC-4BE8-A115-483A39939BA2}"/>
            </c:ext>
          </c:extLst>
        </c:ser>
        <c:dLbls>
          <c:showLegendKey val="0"/>
          <c:showVal val="0"/>
          <c:showCatName val="0"/>
          <c:showSerName val="0"/>
          <c:showPercent val="0"/>
          <c:showBubbleSize val="0"/>
        </c:dLbls>
        <c:gapWidth val="75"/>
        <c:overlap val="40"/>
        <c:axId val="1632914143"/>
        <c:axId val="1632911743"/>
      </c:barChart>
      <c:catAx>
        <c:axId val="163291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32911743"/>
        <c:crosses val="autoZero"/>
        <c:auto val="1"/>
        <c:lblAlgn val="ctr"/>
        <c:lblOffset val="100"/>
        <c:noMultiLvlLbl val="0"/>
      </c:catAx>
      <c:valAx>
        <c:axId val="163291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3291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228600">
        <a:schemeClr val="accent3">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[Agricultural_Crop_Yield.xlsx]Pivot_Table!PivotTable2</c:name>
    <c:fmtId val="4"/>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t>Yield By Years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Pivot_Table!$B$14</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Pivot_Table!$A$15:$A$28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Pivot_Table!$B$15:$B$28</c:f>
              <c:numCache>
                <c:formatCode>General</c:formatCode>
                <c:ptCount val="13"/>
                <c:pt idx="0">
                  <c:v>133868.23000000001</c:v>
                </c:pt>
                <c:pt idx="1">
                  <c:v>179141.06999999998</c:v>
                </c:pt>
                <c:pt idx="2">
                  <c:v>169783.80999999997</c:v>
                </c:pt>
                <c:pt idx="3">
                  <c:v>148603.99999999997</c:v>
                </c:pt>
                <c:pt idx="4">
                  <c:v>129819.60999999999</c:v>
                </c:pt>
                <c:pt idx="5">
                  <c:v>117370.67</c:v>
                </c:pt>
                <c:pt idx="6">
                  <c:v>138297.00999999998</c:v>
                </c:pt>
                <c:pt idx="7">
                  <c:v>167833.86000000002</c:v>
                </c:pt>
                <c:pt idx="8">
                  <c:v>186989.25999999998</c:v>
                </c:pt>
                <c:pt idx="9">
                  <c:v>142396.07999999999</c:v>
                </c:pt>
                <c:pt idx="10">
                  <c:v>155167.77999999997</c:v>
                </c:pt>
                <c:pt idx="11">
                  <c:v>152396.28</c:v>
                </c:pt>
                <c:pt idx="12">
                  <c:v>150200.81</c:v>
                </c:pt>
              </c:numCache>
            </c:numRef>
          </c:val>
          <c:smooth val="0"/>
          <c:extLst>
            <c:ext xmlns:c16="http://schemas.microsoft.com/office/drawing/2014/chart" uri="{C3380CC4-5D6E-409C-BE32-E72D297353CC}">
              <c16:uniqueId val="{00000000-AEB6-49AC-80D4-F15B3F0D34F2}"/>
            </c:ext>
          </c:extLst>
        </c:ser>
        <c:dLbls>
          <c:showLegendKey val="0"/>
          <c:showVal val="0"/>
          <c:showCatName val="0"/>
          <c:showSerName val="0"/>
          <c:showPercent val="0"/>
          <c:showBubbleSize val="0"/>
        </c:dLbls>
        <c:marker val="1"/>
        <c:smooth val="0"/>
        <c:axId val="2143022607"/>
        <c:axId val="2143023087"/>
      </c:lineChart>
      <c:catAx>
        <c:axId val="214302260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43023087"/>
        <c:crosses val="autoZero"/>
        <c:auto val="1"/>
        <c:lblAlgn val="ctr"/>
        <c:lblOffset val="100"/>
        <c:noMultiLvlLbl val="0"/>
      </c:catAx>
      <c:valAx>
        <c:axId val="214302308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4302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glow rad="228600">
        <a:schemeClr val="accent3">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State-wise Average Rainfall for Crops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Pivot_Table!$I$3:$I$4</c:f>
              <c:strCache>
                <c:ptCount val="1"/>
                <c:pt idx="0">
                  <c:v>Bihar</c:v>
                </c:pt>
              </c:strCache>
            </c:strRef>
          </c:tx>
          <c:spPr>
            <a:solidFill>
              <a:schemeClr val="accent1"/>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Pivot_Table!$I$5:$I$11</c:f>
              <c:numCache>
                <c:formatCode>General</c:formatCode>
                <c:ptCount val="6"/>
                <c:pt idx="0">
                  <c:v>757.987142857143</c:v>
                </c:pt>
                <c:pt idx="1">
                  <c:v>754.93999999999994</c:v>
                </c:pt>
                <c:pt idx="2">
                  <c:v>784.29294117647055</c:v>
                </c:pt>
                <c:pt idx="3">
                  <c:v>818.23769230769233</c:v>
                </c:pt>
                <c:pt idx="4">
                  <c:v>411.20999999999992</c:v>
                </c:pt>
                <c:pt idx="5">
                  <c:v>705.38071428571425</c:v>
                </c:pt>
              </c:numCache>
            </c:numRef>
          </c:val>
          <c:extLst>
            <c:ext xmlns:c16="http://schemas.microsoft.com/office/drawing/2014/chart" uri="{C3380CC4-5D6E-409C-BE32-E72D297353CC}">
              <c16:uniqueId val="{00000000-2201-4223-A920-C225EAE5C9D3}"/>
            </c:ext>
          </c:extLst>
        </c:ser>
        <c:ser>
          <c:idx val="1"/>
          <c:order val="1"/>
          <c:tx>
            <c:strRef>
              <c:f>Pivot_Table!$J$3:$J$4</c:f>
              <c:strCache>
                <c:ptCount val="1"/>
                <c:pt idx="0">
                  <c:v>Haryana</c:v>
                </c:pt>
              </c:strCache>
            </c:strRef>
          </c:tx>
          <c:spPr>
            <a:solidFill>
              <a:schemeClr val="accent2"/>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Pivot_Table!$J$5:$J$11</c:f>
              <c:numCache>
                <c:formatCode>General</c:formatCode>
                <c:ptCount val="6"/>
                <c:pt idx="0">
                  <c:v>725.24799999999993</c:v>
                </c:pt>
                <c:pt idx="1">
                  <c:v>740.3057142857142</c:v>
                </c:pt>
                <c:pt idx="2">
                  <c:v>565.4799999999999</c:v>
                </c:pt>
                <c:pt idx="3">
                  <c:v>849.93583333333345</c:v>
                </c:pt>
                <c:pt idx="4">
                  <c:v>627.83136363636356</c:v>
                </c:pt>
                <c:pt idx="5">
                  <c:v>603.12461538461525</c:v>
                </c:pt>
              </c:numCache>
            </c:numRef>
          </c:val>
          <c:extLst>
            <c:ext xmlns:c16="http://schemas.microsoft.com/office/drawing/2014/chart" uri="{C3380CC4-5D6E-409C-BE32-E72D297353CC}">
              <c16:uniqueId val="{0000000D-40F7-46B5-A51D-418A3D6CA4FC}"/>
            </c:ext>
          </c:extLst>
        </c:ser>
        <c:ser>
          <c:idx val="2"/>
          <c:order val="2"/>
          <c:tx>
            <c:strRef>
              <c:f>Pivot_Table!$K$3:$K$4</c:f>
              <c:strCache>
                <c:ptCount val="1"/>
                <c:pt idx="0">
                  <c:v>Karnataka</c:v>
                </c:pt>
              </c:strCache>
            </c:strRef>
          </c:tx>
          <c:spPr>
            <a:solidFill>
              <a:schemeClr val="accent3"/>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Pivot_Table!$K$5:$K$11</c:f>
              <c:numCache>
                <c:formatCode>General</c:formatCode>
                <c:ptCount val="6"/>
                <c:pt idx="0">
                  <c:v>543.74833333333333</c:v>
                </c:pt>
                <c:pt idx="1">
                  <c:v>745.50555555555559</c:v>
                </c:pt>
                <c:pt idx="2">
                  <c:v>737.48733333333314</c:v>
                </c:pt>
                <c:pt idx="3">
                  <c:v>758.65000000000009</c:v>
                </c:pt>
                <c:pt idx="4">
                  <c:v>608.17599999999993</c:v>
                </c:pt>
                <c:pt idx="5">
                  <c:v>467.57750000000004</c:v>
                </c:pt>
              </c:numCache>
            </c:numRef>
          </c:val>
          <c:extLst>
            <c:ext xmlns:c16="http://schemas.microsoft.com/office/drawing/2014/chart" uri="{C3380CC4-5D6E-409C-BE32-E72D297353CC}">
              <c16:uniqueId val="{0000000E-40F7-46B5-A51D-418A3D6CA4FC}"/>
            </c:ext>
          </c:extLst>
        </c:ser>
        <c:ser>
          <c:idx val="3"/>
          <c:order val="3"/>
          <c:tx>
            <c:strRef>
              <c:f>Pivot_Table!$L$3:$L$4</c:f>
              <c:strCache>
                <c:ptCount val="1"/>
                <c:pt idx="0">
                  <c:v>Maharashtra</c:v>
                </c:pt>
              </c:strCache>
            </c:strRef>
          </c:tx>
          <c:spPr>
            <a:solidFill>
              <a:schemeClr val="accent4"/>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Pivot_Table!$L$5:$L$11</c:f>
              <c:numCache>
                <c:formatCode>General</c:formatCode>
                <c:ptCount val="6"/>
                <c:pt idx="0">
                  <c:v>858.35500000000002</c:v>
                </c:pt>
                <c:pt idx="1">
                  <c:v>671.92133333333345</c:v>
                </c:pt>
                <c:pt idx="2">
                  <c:v>543.0315384615385</c:v>
                </c:pt>
                <c:pt idx="3">
                  <c:v>555.26</c:v>
                </c:pt>
                <c:pt idx="4">
                  <c:v>731.59818181818184</c:v>
                </c:pt>
                <c:pt idx="5">
                  <c:v>837.74818181818182</c:v>
                </c:pt>
              </c:numCache>
            </c:numRef>
          </c:val>
          <c:extLst>
            <c:ext xmlns:c16="http://schemas.microsoft.com/office/drawing/2014/chart" uri="{C3380CC4-5D6E-409C-BE32-E72D297353CC}">
              <c16:uniqueId val="{0000000F-40F7-46B5-A51D-418A3D6CA4FC}"/>
            </c:ext>
          </c:extLst>
        </c:ser>
        <c:ser>
          <c:idx val="4"/>
          <c:order val="4"/>
          <c:tx>
            <c:strRef>
              <c:f>Pivot_Table!$M$3:$M$4</c:f>
              <c:strCache>
                <c:ptCount val="1"/>
                <c:pt idx="0">
                  <c:v>Punjab</c:v>
                </c:pt>
              </c:strCache>
            </c:strRef>
          </c:tx>
          <c:spPr>
            <a:solidFill>
              <a:schemeClr val="accent5"/>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Pivot_Table!$M$5:$M$11</c:f>
              <c:numCache>
                <c:formatCode>General</c:formatCode>
                <c:ptCount val="6"/>
                <c:pt idx="0">
                  <c:v>561.82888888888886</c:v>
                </c:pt>
                <c:pt idx="1">
                  <c:v>741.53444444444449</c:v>
                </c:pt>
                <c:pt idx="2">
                  <c:v>593.56333333333339</c:v>
                </c:pt>
                <c:pt idx="3">
                  <c:v>805.88999999999987</c:v>
                </c:pt>
                <c:pt idx="4">
                  <c:v>719.84647058823543</c:v>
                </c:pt>
                <c:pt idx="5">
                  <c:v>711.64928571428572</c:v>
                </c:pt>
              </c:numCache>
            </c:numRef>
          </c:val>
          <c:extLst>
            <c:ext xmlns:c16="http://schemas.microsoft.com/office/drawing/2014/chart" uri="{C3380CC4-5D6E-409C-BE32-E72D297353CC}">
              <c16:uniqueId val="{00000010-40F7-46B5-A51D-418A3D6CA4FC}"/>
            </c:ext>
          </c:extLst>
        </c:ser>
        <c:ser>
          <c:idx val="5"/>
          <c:order val="5"/>
          <c:tx>
            <c:strRef>
              <c:f>Pivot_Table!$N$3:$N$4</c:f>
              <c:strCache>
                <c:ptCount val="1"/>
                <c:pt idx="0">
                  <c:v>Uttar Pradesh</c:v>
                </c:pt>
              </c:strCache>
            </c:strRef>
          </c:tx>
          <c:spPr>
            <a:solidFill>
              <a:schemeClr val="accent6"/>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Pivot_Table!$N$5:$N$11</c:f>
              <c:numCache>
                <c:formatCode>General</c:formatCode>
                <c:ptCount val="6"/>
                <c:pt idx="0">
                  <c:v>761.13692307692315</c:v>
                </c:pt>
                <c:pt idx="1">
                  <c:v>954.73874999999998</c:v>
                </c:pt>
                <c:pt idx="2">
                  <c:v>772.63000000000011</c:v>
                </c:pt>
                <c:pt idx="3">
                  <c:v>711.34666666666669</c:v>
                </c:pt>
                <c:pt idx="4">
                  <c:v>539.58000000000004</c:v>
                </c:pt>
                <c:pt idx="5">
                  <c:v>763.30285714285696</c:v>
                </c:pt>
              </c:numCache>
            </c:numRef>
          </c:val>
          <c:extLst>
            <c:ext xmlns:c16="http://schemas.microsoft.com/office/drawing/2014/chart" uri="{C3380CC4-5D6E-409C-BE32-E72D297353CC}">
              <c16:uniqueId val="{00000011-40F7-46B5-A51D-418A3D6CA4FC}"/>
            </c:ext>
          </c:extLst>
        </c:ser>
        <c:ser>
          <c:idx val="6"/>
          <c:order val="6"/>
          <c:tx>
            <c:strRef>
              <c:f>Pivot_Table!$O$3:$O$4</c:f>
              <c:strCache>
                <c:ptCount val="1"/>
                <c:pt idx="0">
                  <c:v>West Bengal</c:v>
                </c:pt>
              </c:strCache>
            </c:strRef>
          </c:tx>
          <c:spPr>
            <a:solidFill>
              <a:schemeClr val="accent1">
                <a:lumMod val="60000"/>
              </a:schemeClr>
            </a:solidFill>
            <a:ln>
              <a:noFill/>
            </a:ln>
            <a:effectLst/>
          </c:spPr>
          <c:invertIfNegative val="0"/>
          <c:cat>
            <c:strRef>
              <c:f>Pivot_Table!$H$5:$H$11</c:f>
              <c:strCache>
                <c:ptCount val="6"/>
                <c:pt idx="0">
                  <c:v>Cotton</c:v>
                </c:pt>
                <c:pt idx="1">
                  <c:v>Maize</c:v>
                </c:pt>
                <c:pt idx="2">
                  <c:v>Pulses</c:v>
                </c:pt>
                <c:pt idx="3">
                  <c:v>Rice</c:v>
                </c:pt>
                <c:pt idx="4">
                  <c:v>Sugarcane</c:v>
                </c:pt>
                <c:pt idx="5">
                  <c:v>Wheat</c:v>
                </c:pt>
              </c:strCache>
            </c:strRef>
          </c:cat>
          <c:val>
            <c:numRef>
              <c:f>Pivot_Table!$O$5:$O$11</c:f>
              <c:numCache>
                <c:formatCode>General</c:formatCode>
                <c:ptCount val="6"/>
                <c:pt idx="0">
                  <c:v>702.78416666666681</c:v>
                </c:pt>
                <c:pt idx="1">
                  <c:v>715.41846153846154</c:v>
                </c:pt>
                <c:pt idx="2">
                  <c:v>513.13749999999993</c:v>
                </c:pt>
                <c:pt idx="3">
                  <c:v>818.28583333333336</c:v>
                </c:pt>
                <c:pt idx="4">
                  <c:v>652.6486666666666</c:v>
                </c:pt>
                <c:pt idx="5">
                  <c:v>860.51700000000005</c:v>
                </c:pt>
              </c:numCache>
            </c:numRef>
          </c:val>
          <c:extLst>
            <c:ext xmlns:c16="http://schemas.microsoft.com/office/drawing/2014/chart" uri="{C3380CC4-5D6E-409C-BE32-E72D297353CC}">
              <c16:uniqueId val="{00000012-40F7-46B5-A51D-418A3D6CA4FC}"/>
            </c:ext>
          </c:extLst>
        </c:ser>
        <c:dLbls>
          <c:showLegendKey val="0"/>
          <c:showVal val="0"/>
          <c:showCatName val="0"/>
          <c:showSerName val="0"/>
          <c:showPercent val="0"/>
          <c:showBubbleSize val="0"/>
        </c:dLbls>
        <c:gapWidth val="219"/>
        <c:axId val="1725870431"/>
        <c:axId val="1725882911"/>
      </c:barChart>
      <c:catAx>
        <c:axId val="17258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882911"/>
        <c:crosses val="autoZero"/>
        <c:auto val="1"/>
        <c:lblAlgn val="ctr"/>
        <c:lblOffset val="100"/>
        <c:noMultiLvlLbl val="0"/>
      </c:catAx>
      <c:valAx>
        <c:axId val="172588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2587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glow rad="228600">
        <a:schemeClr val="accent3">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[Agricultural_Crop_Yield.xlsx]Pivot_Table!PivotTable6</c:name>
    <c:fmtId val="2"/>
  </c:pivotSource>
  <c:chart>
    <c:title>
      <c:tx>
        <c:rich>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r>
              <a:rPr lang="en-US"/>
              <a:t>Yields by Irrigation </a:t>
            </a:r>
          </a:p>
        </c:rich>
      </c:tx>
      <c:layout>
        <c:manualLayout>
          <c:xMode val="edge"/>
          <c:yMode val="edge"/>
          <c:x val="0.18697481738748375"/>
          <c:y val="4.1341145833333336E-2"/>
        </c:manualLayout>
      </c:layout>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solidFill>
              <a:sysClr val="window" lastClr="FFFFFF"/>
            </a:solidFill>
            <a:ln>
              <a:solidFill>
                <a:srgbClr val="00B0F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24257991812985"/>
          <c:y val="0.27998426649305552"/>
          <c:w val="0.83783729593122136"/>
          <c:h val="0.6062700737847222"/>
        </c:manualLayout>
      </c:layout>
      <c:pie3DChart>
        <c:varyColors val="1"/>
        <c:ser>
          <c:idx val="0"/>
          <c:order val="0"/>
          <c:tx>
            <c:strRef>
              <c:f>Pivot_Table!$H$14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BFE-4176-A5A7-5C56162A3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BFE-4176-A5A7-5C56162A3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BFE-4176-A5A7-5C56162A3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BFE-4176-A5A7-5C56162A3A51}"/>
              </c:ext>
            </c:extLst>
          </c:dPt>
          <c:dLbls>
            <c:spPr>
              <a:solidFill>
                <a:sysClr val="window" lastClr="FFFFFF"/>
              </a:solidFill>
              <a:ln>
                <a:solidFill>
                  <a:srgbClr val="00B0F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Pivot_Table!$G$15:$G$19</c:f>
              <c:strCache>
                <c:ptCount val="4"/>
                <c:pt idx="0">
                  <c:v>Borewell</c:v>
                </c:pt>
                <c:pt idx="1">
                  <c:v>Canal</c:v>
                </c:pt>
                <c:pt idx="2">
                  <c:v>Drip</c:v>
                </c:pt>
                <c:pt idx="3">
                  <c:v>Rainfed</c:v>
                </c:pt>
              </c:strCache>
            </c:strRef>
          </c:cat>
          <c:val>
            <c:numRef>
              <c:f>Pivot_Table!$H$15:$H$19</c:f>
              <c:numCache>
                <c:formatCode>General</c:formatCode>
                <c:ptCount val="4"/>
                <c:pt idx="0">
                  <c:v>6967.21</c:v>
                </c:pt>
                <c:pt idx="1">
                  <c:v>6968.08</c:v>
                </c:pt>
                <c:pt idx="2">
                  <c:v>6990.6</c:v>
                </c:pt>
                <c:pt idx="3">
                  <c:v>6975.75</c:v>
                </c:pt>
              </c:numCache>
            </c:numRef>
          </c:val>
          <c:extLst>
            <c:ext xmlns:c16="http://schemas.microsoft.com/office/drawing/2014/chart" uri="{C3380CC4-5D6E-409C-BE32-E72D297353CC}">
              <c16:uniqueId val="{00000008-EBFE-4176-A5A7-5C56162A3A51}"/>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glow rad="228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[Agricultural_Crop_Yield.xlsx]Pivot_Table!PivotTable7</c:name>
    <c:fmtId val="4"/>
  </c:pivotSource>
  <c:chart>
    <c:autoTitleDeleted val="1"/>
    <c:pivotFmts>
      <c:pivotFmt>
        <c:idx val="0"/>
        <c:spPr>
          <a:solidFill>
            <a:schemeClr val="accent2">
              <a:alpha val="50196"/>
            </a:schemeClr>
          </a:solidFill>
          <a:ln w="25400">
            <a:solidFill>
              <a:schemeClr val="accent2"/>
            </a:solidFill>
            <a:prstDash val="sysDot"/>
          </a:ln>
          <a:effectLst/>
        </c:spPr>
        <c:marker>
          <c:symbol val="circle"/>
          <c:size val="6"/>
          <c:spPr>
            <a:solidFill>
              <a:schemeClr val="accent2"/>
            </a:solidFill>
            <a:ln>
              <a:noFill/>
            </a:ln>
            <a:effectLst/>
          </c:spPr>
        </c:marker>
      </c:pivotFmt>
      <c:pivotFmt>
        <c:idx val="1"/>
        <c:spPr>
          <a:solidFill>
            <a:schemeClr val="accent2">
              <a:alpha val="50196"/>
            </a:schemeClr>
          </a:solidFill>
          <a:ln w="25400">
            <a:solidFill>
              <a:schemeClr val="accent2"/>
            </a:solidFill>
            <a:prstDash val="sysDot"/>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50196"/>
            </a:schemeClr>
          </a:solidFill>
          <a:ln w="25400">
            <a:solidFill>
              <a:schemeClr val="accent2"/>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Pivot_Table!$H$22</c:f>
              <c:strCache>
                <c:ptCount val="1"/>
                <c:pt idx="0">
                  <c:v>Total</c:v>
                </c:pt>
              </c:strCache>
            </c:strRef>
          </c:tx>
          <c:spPr>
            <a:solidFill>
              <a:schemeClr val="accent2">
                <a:alpha val="50196"/>
              </a:schemeClr>
            </a:solidFill>
            <a:ln w="25400">
              <a:solidFill>
                <a:schemeClr val="accent2"/>
              </a:solidFill>
              <a:prstDash val="sysDot"/>
            </a:ln>
            <a:effectLst/>
          </c:spPr>
          <c:cat>
            <c:strRef>
              <c:f>Pivot_Table!$G$23:$G$28</c:f>
              <c:strCache>
                <c:ptCount val="5"/>
                <c:pt idx="0">
                  <c:v>Compost</c:v>
                </c:pt>
                <c:pt idx="1">
                  <c:v>DAP</c:v>
                </c:pt>
                <c:pt idx="2">
                  <c:v>NPK</c:v>
                </c:pt>
                <c:pt idx="3">
                  <c:v>Urea</c:v>
                </c:pt>
                <c:pt idx="4">
                  <c:v>Vermicompost</c:v>
                </c:pt>
              </c:strCache>
            </c:strRef>
          </c:cat>
          <c:val>
            <c:numRef>
              <c:f>Pivot_Table!$H$23:$H$28</c:f>
              <c:numCache>
                <c:formatCode>General</c:formatCode>
                <c:ptCount val="5"/>
                <c:pt idx="0">
                  <c:v>4333.2847872340417</c:v>
                </c:pt>
                <c:pt idx="1">
                  <c:v>4132.3548387096789</c:v>
                </c:pt>
                <c:pt idx="2">
                  <c:v>3940.1907619047593</c:v>
                </c:pt>
                <c:pt idx="3">
                  <c:v>3709.2354629629644</c:v>
                </c:pt>
                <c:pt idx="4">
                  <c:v>3913.9866999999995</c:v>
                </c:pt>
              </c:numCache>
            </c:numRef>
          </c:val>
          <c:extLst>
            <c:ext xmlns:c16="http://schemas.microsoft.com/office/drawing/2014/chart" uri="{C3380CC4-5D6E-409C-BE32-E72D297353CC}">
              <c16:uniqueId val="{00000000-E8E6-4D74-992E-2B1E33D0FEDC}"/>
            </c:ext>
          </c:extLst>
        </c:ser>
        <c:dLbls>
          <c:showLegendKey val="0"/>
          <c:showVal val="0"/>
          <c:showCatName val="0"/>
          <c:showSerName val="0"/>
          <c:showPercent val="0"/>
          <c:showBubbleSize val="0"/>
        </c:dLbls>
        <c:axId val="12198800"/>
        <c:axId val="12197360"/>
      </c:radarChart>
      <c:catAx>
        <c:axId val="1219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97360"/>
        <c:crosses val="autoZero"/>
        <c:auto val="1"/>
        <c:lblAlgn val="ctr"/>
        <c:lblOffset val="100"/>
        <c:noMultiLvlLbl val="0"/>
      </c:catAx>
      <c:valAx>
        <c:axId val="1219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1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9050" cap="flat" cmpd="sng" algn="ctr">
      <a:solidFill>
        <a:schemeClr val="tx1"/>
      </a:solidFill>
      <a:prstDash val="solid"/>
      <a:miter lim="800000"/>
    </a:ln>
    <a:effectLst>
      <a:glow rad="228600">
        <a:schemeClr val="accent3">
          <a:satMod val="175000"/>
          <a:alpha val="40000"/>
        </a:schemeClr>
      </a:glow>
    </a:effectLst>
  </c:spPr>
  <c:txPr>
    <a:bodyPr/>
    <a:lstStyle/>
    <a:p>
      <a:pPr>
        <a:defRPr>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Yield by States</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Yield by States</a:t>
          </a:r>
        </a:p>
      </cx:txPr>
    </cx:title>
    <cx:plotArea>
      <cx:plotAreaRegion>
        <cx:series layoutId="regionMap" uniqueId="{B0E8906A-4803-445B-9BCC-51FACA42E713}">
          <cx:tx>
            <cx:txData>
              <cx:f>_xlchart.v5.2</cx:f>
              <cx:v>Average of Yield (Kg/Ha)</cx:v>
            </cx:txData>
          </cx:tx>
          <cx:dataId val="0"/>
          <cx:layoutPr>
            <cx:geography cultureLanguage="en-US" cultureRegion="IN" attribution="Powered by Bing">
              <cx:geoCache provider="{E9337A44-BEBE-4D9F-B70C-5C5E7DAFC167}">
                <cx:binary>1H1Zc9w4su5f6fDzpZvYgYnpE3FZxaIk71u73S8M2Za5kyBAcPv1N6u3kDCSNYOZuHGmXybGpUom
M/FlJhIfsv7+Zf3bl/bm2vywdm1v//Zl/elJOU36bz/+aL+UN921fdpVX8xgh2/T0y9D9+Pw7Vv1
5ebHr+Z6qfriRxwj+uOX8tpMN+uT//k7SCtuhufDl+upGvo37sZsb2+sayf7nc/u/eiH669d1R8r
O5nqy4R+evLs2vTX03Vz/eSHm36qpu39pm9+enLnz5788KMv7B8e/EMLuk3uK3wX0acCxRRTiuPf
/kNPfmiHvvjjY8GfIi4UYoSo3/4jfz765XUHX/+nNPpNn+uvX82NtfBOv/3vna/eeQH45P8++eHL
4PrpbLkCjPjTk8v+awVvXdnh8PsHh+Gs/eXL3173x7s2/5+/e/8ABvD+5ZZbfGs99tE/eCWpwPd/
muXf9whmT8HikoHN7/OIhI9jxTlV+M9n/u6KR9W43w1/fM1zQfL2v8oFL67BBde2nMx/EhrqKWU4
loSp+xxxhkYsFcH0d2Qodtcf/6RO93vlzpc937y4+K/yzcW12a77/6BfsHqKlESKgsHvhipCY0xj
Kn93F7/rj39Cj/t98dcXPT9c/Hdh5LXr6+vPf9rk349TJH4qKUZMYXHXD+wpRVzGKhb3pozH9bjf
DX9+z/PC6+S/Cg0fpgkKjdfm+uuNLf9zzsD8qcKEcYR+X/sxuuMTGT9lnBOG5f1p/J/W6n7XeF/3
PPTh9f9qD91fadyur+78xb9YX2H8FMzOYiz/qK/wHccI9ZRwwkVM2O+OAyz9/ujfk/ofdc/D2tzv
kD++dkfx/91F1McbO/2Q3PTFdfunBf79EIXJU8koYrG4G6KkeKoE5or+gQY/df+Tytxv+ztf9qDw
8f9zsHq46v1rT3CEDUX622biVuH7/U9/e2/Y43hfvbMnubP0/vTo5VfYcCDYQvy1RTmLeHjB//X3
N9d2+umJEpBZkCCMEcqhRubqyQ8LrJufnnAJJQGDqiCGWg2QRiD89YOZyp+eEPEU3M+Z4jFXBGo5
+uQHO7jzR/yp4DGsASmwgJSloKL+89VeD+1WDP1fdvjj///Qu+71UPWT/ekJyNG//9VZzQgjKqhg
7LyW9Jfrt7AzhD9C/8fmaz40leIXJToq9srOV7fe/1+Qe37eLbkKVzO37SrSiZVtmez7tn0sMV9/
3xL9viP6F8SDV26Lr0XUbMvai7Q0ozFvF77Hxfti3Ydv31cfqq57zQJx77Z81e2NdE3OU4WZ3d9o
1Kk4KUnNUBLTuMMJJeOUn77/sId8AO6//TALvq+XoufpaokkiYxJYZJh4/LX78uHsHHvy8R35Qs1
xrpWG08d0vQFQgvt3i1xHfPnm5z6NYvEzk3SbaN++/0HPvBCElb67RfSMtazOD9wbpVYr4bS5e5A
rSur9PsPOAu6Z9VKefcBstqXeHKEpUtjxXLFN5Ljg24sLp+zpqzxC+Qa1xxGO/abSOKWovEU9+Vs
YHPyF7rvWX7obLr7FDib+tby1qKzDbMbS11RzONBYpkJgr7phoxLk4zFMneJ20T0fFgK1KQOD4Ps
k6iQuHv+fRUesvF55d7SoC22bm7ZAiaQmB2IGb4JtlSPvN9Dwr2oMABSF7lNLN02K36Jh21I8tnV
r8JUPz/1tuqyrrglhqUNqaqbGFpXz/uoatwhTLwXG4ZoYXosGUvbScw/o2WkyZrvIizySC8ymHap
tcYjS6ch2vc0XqPZHLkeBhGovhcN8FogubU1RIOBuvqwcb7SZBwBSscw+3jhANdb1A9WR1k/bIK/
thV0Jn7upil6JHY+sHiEh34rYxcvK5PZPqAu3QoamWStGmseMdB5Ed6DPeGBXw0NbR3e8myI5N6d
FoP0nLbLhqrjWJVUBT7GgzihQy4XHYlsmhyeLno+9HG696hdU11NyxoGNeHheBzmMSdrJzONm/19
Y7byVS+4ev99Xz9kKw/IS7NKtEDZkeFordLWGkGeF3Qbxo8Nk836iKke8vj5328BupSFbqTQMjMt
3S6jbo9fqQKZFurJ70Xbh8STu+KHvNpiMA7PnBjxmsT1Sj/xfdBpmHgP0W4Wg5Ax59ncggemtuhS
6iKhA7X38Owq0m/tVsuM2rkBH2xyjRIbb9Ue+AAPz42K2KhWsL5C3dhfasT6JTW12JfXQQY6F663
3SvwRiyKVp4pW1Y/C2nt67Uqxu0R/c8r/R48cw/PnZoXVrtCZF1rx/yt6LrR/UzGXcVXU1Qq8QZq
XcIvw97FQ7XYDIF+KROZJnSqLqadrCopm26Jw/DMPTyv1TbyCRuRNbbQ9NJ2eJZJ7ah5LDefzXKf
uTxIb0VdxN0C62nMN22OdUGEeN1F+8yviinvmnQt8Nb/0naS/Or6YukfsdxDNQ/3UN6uRS6GfYG4
28pWX5WRzQVU9o2Csk5OS02npJ/qfT5UJdfdqVn3Qhw5Xcjwbo4n7gIN7EWDLeeRkE2UZ52I3JFU
i8ikaMkjixGdYXmfefHdxc7maa1GPKqMxLsZ0h3l85SyfN/bC62I2F4Vthu+6Ygu3QXdZc9eroTg
/gUWUta/yAYz9ogqD4Q97gUO2ddMD0tFMy1ySw58Vzd6XZcxLGhzL2y0hnC0rbXITKSXrJgQbZOC
yOJrENCYFzQcMlzWdUGzQq/yE4NU+tLGURcWs5kXM0ZS9HUUCZWxFnYyB4dktyeuMpt9ZJU9gDLm
xQlbjRvDq5HZtC05vpTUmPjzqhEgrsRlPCR95XSX4J3r4ovudovD3MK8+EGWvoVFZHjGZd65RI/Y
dsnmaBSYLpgXP3a6N6PjRqRuZCjl21wcdz5ExzC3e0GC5yru63HdM+uKKdt7USfc6PqRGPQAJJiH
fY7iMlohNWQ1rroDnlB9zLcBBy4qD/qw6xkkqoY9w7BvTOISfewL+ljV+pDqHpoR1z1d22LPCrFN
L9zWx1ALjCWqA9eNB+eydpMmZtuzKO/UJZ7X5pgTSbMgt1IPzUTPTE8NSJ9yTA8LETaxHarCdKce
mmWPdzkLcGs04fLQEDcnvBE0LI5SD8p1HJl4ye2ejahqT1b1xWFmdD993zJn2NyTL6iH1z5n5b6j
aMmWiN3AtrOZT3RqdJ9Ni+CBb+BBlsxi7usmXzICwH2rpqFOER2asO049SA79VAKLTtfsoEyfikV
c8d66wPDDfUgi6auzeVeu6ywLX1WtZ14odc2UHUPsZCo86ZBZMrGoc7RwTBsD6Jcm/L4fec+AFrq
gZblhW2iHdo8uq/Wq2Yqpucuz9tAUHmQhf5oNCNXTyfjisW+I0ss21fMSF6GrRviobZB1TwWM16h
JHT7odHs06a2/pGF/4BtiAdaVkcNlTKf07EtUUKsw8molAtU3QMt0TXFeS1nsHz0yWCo73q15mFu
JR5mG72bKLL8D9UpHnHCZh6quo9WJnMnSzSnaoGmMT5Lt+GGObvj1l67iWedtxakr7UqD042LuEc
14Fm99BaUiaHGMcgneKbsaLtqaiKwM4W8dDaAIFNVgUIV7vrslYoAzsvvobVBudDlNuGWSci8nZr
5pRN+ZKsaMYJ0vkUlqKIh9Wu1LgfSOzSft77ZCmrG1fvKMzq2MOp3c2kh3JxadeUNOGUfYpmiwOF
eziNc2bIVkZTKsa4P9q1urZut4HCPZiOVq01VMIurbkqE15XbeIMFoHSPZwKUkdFFSlQXTn0wsLx
yOtcFG3YERX2cLo6insKkrMdAX0y2XvJ2TGaImnD1gz2oIrHVXVOF3O20a43SUQ0y/SCpy9ByQl7
WEVVjs2wdpBZc9teqdqio23qLQ2Tju/CyZlck2JjLpsU+RXV+I2l5E2YaB+pdqu7bYumrCqjlxAe
P21YBPYKsYdTVVWdQL2Ysnop5dGV7P3Q5EOYQ5GH076xkVHSuSyqpurQ1uK5wGMcttiRh1M4Fl60
XWWU9u36tdrQR8y6Z0EGRx5KZbUUEeTrLQOxdkp2bEuebJYUYaEXeTidC+bKhpopA0pV/AudIA4k
ttpRWKWBPKC6scVxmw8u6wazH4dVfC4rnQea3QNpLqtRzJVxGdvMdug6Dao3j528noXcszk4kwdu
5yTVc1rpqJsyOO1XL6Qt0Is2yvXHMLd6EMUTngyQr2E5lnmZkG75Rcgq0KUeRnc6qDovG5cZNpME
yfVTO8rXYXp7GKULXZeKgOyotu+p214wal8EiY49hA5LnhcTKaY0zqPoENX582qPA/sDsYdQhLQW
e4SjFCjOr7pNfJJma8NCS+xBNCqhTjcD2KQt+zdDMZzyrgyL5LGHTqqXjazQwE+Hfb4wC35GWVgG
jT1g6o1NfNCwt+Nd8VwOa9abPOyYNfZgWbXTWjoHSuvuwz67Qy1+DlshHiRbVRu9N+BEWjafzare
yJ2HxanYw6Mb52bdFj5lm63R+32bcFY7Yo9hinuIJH2+9nWlpsxGQCXAfXOhcvVLmGwPkU1bWQYX
LaKUVVDdRjG/poqEJTbgm98NgrCwx7GNISWXFV8TZml0VErMQcChygOltLOYKJujdOTvzHCU0MUO
sQlVHiLLohzpWG5T5iSQORZidYJG/j5MuIfJBc67tq3PbYpKfbG0cLY/knoKWinU53QZ5+ImakG4
bNlr4vSXim4m0CoeLoHWvsWjVDY1HXnNQPbq5lDZHjTRUglCVgRtY0zi504W9dVIVx5oFQ+dpaVz
C/UsLBS282SP6w8tL4MKLKo8bK7K0aVRgPyVbFN9iGnOhyOGCqgKCi1UeQDVS0dzOKuZsoLq62iZ
P8Lhw4egpeiTtWZCYsMJ2MW5gh1H11QJkVgE1RHQELoLflPOAvrRKyi+rq/dEF+t8xiIUOkhtO5E
TEVJbCYb8qIFwmEqhcBhFpceQl1hgHPp5imLdfuGRu2hNmVQkUKllzYNi/qtIJ3NMGb4sHTIHBCt
v4W50wPoBicKVnaTBTYD/1TY9aoS7F2YaA+fq5nyRuLIZBtql6QdxHjquzqMhkF9YtXAll7NwBXK
4AhpP/b78FIQ+xjH4Pz2/1iIU+kB1GlsmxItJhuAa9Mm1pnoWTTH29swy3jwXCICUZE68Oi8fbVQ
wa1Wfg4S7bOpJkg8peaDzRpevF21voy7Lmwd+kSqOZcNr1tqsn0ey3ReCnyM2v5LmN4eOKud5tas
jc1UqQ8N3V528rGy84yTe5zpU6aWCPrBsxYmK7uZucQIXr8YuV6TpcZuO4Tp74GUNf3aNwMzWVuR
X9uSfox08z5MtAfRFRiPLRe5AfzP9mK2BiVopmFHdVR4KC1wySpDMChO0cdujvqERvrnMM39HLqO
ujFxaTOGK7qkO3EbTXrZls0x7AEeTmlZFNLJFpbkGr2pOvy+GsP24lR4GG0rNsKGGUTnm3ozxdWr
nPCgYyjqE6RaueXdOG8mI3mHs0ji6Q0qliqI6Ut9fhQWc8zmClZiHu9bspkxIzSQnUa5B9NuzaNp
taXJ+lnHSTyL07gUYd1huPVwN/lPhjpHFZgcwuOzecPPWraGYYh78FRL0bp6LEwm8qJPxL49U6YK
OzejPtNJwSqJV9yYDA3za4LG5yaeAvX20GkqOJ3gSzRmlsuPFTJv2mYM2sRR7oEzX2nXFLo2GQfL
JApI6Mm4dTIsHvpspInUY1QPaoRzm3I8GNy8cZH6EIR6n4oUx7DP6lk8ZkVFujpZoFGRujjiYYbx
qUh1rYCVVm+AG7V1B+k4f9tW8R7mUZ+KNNeM58C1G7NdGXxAlr6ETBp2ek59GpKLejmwdYDlMiga
NxBrt8aWiVRzE9TDgRP+uxgFLnCsirUH2xflIg49NM+yPKdj2DkC9elGW+OcNF2uMxnZZjzMi+6+
OSWWwE0jo3f1Rx2O6aIinZlys8eu4HUCFmKnoJXpE46EWFcZz7HOXMvxIeZAYiew+03CpHuInVpg
4FnS68xSUUwJ2nFz3WxrXwTK97LpWhlulhVsM5T1kFRT92FtUVjOY346xcPSRcKB3XupLzYb29PS
DuVFkGV8vtFMZrLpdtFZnbP9YzzkxQUVUjdhhvEJRwTiJMMbuFX1+WhPwklCE5YPfAx8gJdW4TCu
GXo9g+WJXS6NkR/KsQ3rzVOfciSaDgPH2OhM0OldVdg3SzO9C7O7l1aLfFtI2xZjJnr1az8sKCkp
fYxbe4bkPXW7TzQaoWUuI9fpjJha/irgUOHCNd0cuGS8zDrF0brthA0ZIFUlHKgvSbRFIg0zjAdV
s0VwRt+CdDZvLmFIXzX9Yyym30rQ+wzj4XSsVqDXSTxkM2+KPIHT4hqCjajW5lB0qmguOr0t71xn
20tiScSzqSxH9h6uuInxNfT/rHmnRMcvGjiXHC7qpqc8EW0FzfhiHWW8JDutR/NhGXHkDvE29s31
UJbReOBQWOIjYtBrT4V2qzu2CLpkBw6n1OulGyNZZ1isJb3Mh3rZDiiGbsIvETB7txMitRVHIlaQ
ubTVtJ+KUZUWbtvh3Z06jNf9aOeO9L+ugtL89UR5VH+2iI1jJnes5sys8L5HPe0sreOZyUMvMGoO
fBOFuyjQUKjnXPZwLywed/wOS7UkM+bmUlfW7Fk8KLmdlq6d6XE2tGDpLBYKLey2nOmhaHU3QD2r
1HaQpiIi6YbKoGdLn9fqsiVootkO1l4OjDTz5b5H3UvTzzE90nie96TOTb6/a1E9iLAqhHoBs1up
440jQ8ZZOUDXJ0pwQVRYvPGZXoTmGxSSrc5K3t3ktHmXiypMb5/nNcNJzNpi0Ju5PLOqvcoZCmsO
Ei9KshmYKQg6SBlWak3ySDWJatEQaBOvsjFxQXgDh3ZZges6WZvxG69NWNFHvDhZw/XWuRfxkLnN
6ZdwG6y6GMjUhYUy4tU0Ja9i12Nus8I09DmF+hWY/276FBTKiBcoTVfM86znIWtk4X42ctyhmd/L
KdDsXqQc+2qCayJqyBQ0lROG6+flXoTdNKM+ySsGCDMq9ZBtg8674xAvdbaOcRW4y/FpXqiv0B4R
WJG86NiaYtu7PRERa8ZjkPF9qtfUjUseldOQwUHVt0XTKxbZsBsdFMu7pbB2i5nHTQxZGSvgkU1W
rO2BqBp/C9Pdg+vMxp3MDuusHdUuEzGMBM7YJcZhXAyKPcQuum9RvBZQIMDQusSJpU6rqgosEHy+
lxZLXu8FpHA4ozEHYJTxg46WOAszjofZJYar0qzqB7hV27ZXnMxsSvhoeBi/n/psL1v3BRCZBgjD
vRNXZU/iX2FPu4W1grEHWrF2495ZqFehlbVe5jR3mYgnEbjovfoGk9ap6pyd6qorDnYZi8RNXRcW
cHzKFzJodSvsk7No68lNCWzzm71zXRjzk/qkL4ZJX5d1ozPGxRxdNqpHhzhfFvbI2eED9+qoT/yC
u615zlvZZ3uLiHmvm2oeDrnosT4udojew4Wzl1Gk2voIVVyjDoWCzeipjBgbwrzv88PgUjCPXQ31
57KNpTxEXQ0DKLqy123YNtoniPGY7LBnOUemfEL5s64q4N7ZNm5THNad8ilie+wMXK/FfUYIqppk
XeqFJnVD58ACC3nw5nbvTI/hAZvDQFve3Udg738JCh0+S6ydum1Sbu8zbXp7WAvybZ9YqOIesotx
R9Y2osugtj21uLnC2Ia1AH67QnmLit5FUVwsMEEkm+hsD01E4ahh2d+GGcUrl6eyNQVa5j7LnZGp
K3GRdKwKTJU+T2wRMLezB49mlVmjz129kC8mgnQTpLtPFLM17Qfaoy6DWuulmPdn7Vg8MsvlvN7u
2Sr6PLFihXNGboY+sysur1BrZAIzSJewJOZTxZaGV3JuSJeRRg5FUks5XpXC9WUYTH3CGFXrQHgf
d5lgfX0YlbxoKNrC8oBPGTO6L4pcVX2maLk8t6ajBzHV85vv+/Rc2d9neK9qVkuzzQuC/N7udISS
P7aFStsYDUPKYVfXh9VYPodMbjyXnBRDFjsy6aRkU32GVqyGsFx8HrV3m5LaRZUdZ1XB2mT4nZvi
twXKA5e9B1mYZDHJ2IDu0F1jx8pAK393qA9yL8w+u6t4D4sxaoAVmCJh8rfzFul3fcnCbjPBVK27
0tuqRy7Gtj3HYPlGd4RlU8VkkNGJzyXT0F2I865v4TAcuhLDKN9EtKgCDeNVzW6b+s1tVQsMARjh
dIDLh+OnvVXDHCjf2+vCQJo815Nps92Iz9A7etGJ8uP3QXV/NCPn6Wa3FyOdYzithhuCcGl1yOtk
tG6+WcgYNnqDKA+zFWzf+jI/m13LHBqOVl52nLmg5U7OE41vKz/g2q27AeXzooS2E8I6gZEqYRmK
+JQyxXexMQv9N7RMaDv2FfARDnXf13NQ8wWmXtxVX85LrqGybTNU8u0oizh+PcB9vrdBnvVZZRuv
oMO1jNGxQMU6XNUxil9irJl7RPvfOi3/GI+JTyzjlOCVcwdLhzvWvRoR6t1F1cyjOcFGzOETzNLj
9jiydh2eRxvsCp5rUY/dJ4wIPTmO90tBo40las8dTFfYoqZ51fVsxYduHLfqsBdlvn8e8q1yp15D
zj04Vq9fSEfps1nX09VWlfOJ5G4BETADo0zirqL7+xLB/ZY3zXlOxfu+ktoeYcNGd/jULIcyBubn
y1qX0X6Ev7bVC4LzYQ4qJIlPiANe44jPF5LTIkf1y1k16jmucBGWYIlPiRuihg3QHW0yvMY3HI9v
FCpehy0XL8bAXnPrIr40GdmBZ9tieokH+9ggjXMgvG+peFHGuagrdrs22ahhVselsXu7HNUGrIfj
AjuE4pIr3pZB3TWY13cXVmhUjNOZNVmkI57SZmlPu26LD2F28mJOueUO9oikyeaBlsco3z9ONX7M
Tmdj32cnrzRAcVG5xrgm462r3gGrmr6SZbFerzWKHulsPvQIL+jEuRIF1mOT2pU0/FhOoxmrZDbQ
bL+sFrjR9sim+gGX+6w5oCcUbuZtkcJPBTTNybEVATssatOq2yU+AKM7rKtEfBJdUULvJDctGK3H
ERDd+EcIRIEJ7DwI9naKiWDgCDQC+iZDcBw3keU0EfRIgH7AEz6JThDgcu5wB/fYFKOYLlVr2WmQ
Cs79eTG3cRC7gIjz029tERnI5lUlIhjTAYME4a578YsaRdjVViI8YNtNjVW1mToTgk0n4FzLJC9R
2GaF+ES6uYJWJHGozCoq6UnPW3eUqgraxxHhATnmGrWtaPMjmqurOCcJHXigzT0YbyRu7TCB6H2n
aa7GU1fhoP0h8Tl0G0xdq6xq8mNT4WeCRc9GHtbFIz6HDmiF50G4VX7U9TJe1dZOWcTIu6Cw6VPo
cibKeSMRLHZU2FRrQ5NNtfQUJt1Daawak7M4qjJRWf0MWK8fx2ILGw5LfA5dwUURzdhVWbvh9uTU
1F/EYxtGRSU+jS7aVjhP6UyVVXU9HnUpn0fC2DTMLh481zoenSWDOk4drdYTxssHbZomrKkIg8jv
xpZyUNPY0l4d+3l82bRDVpshLIn7VLqtXNeiK6CQaidXJb3r48Peskci7/n170mzPpNuBnb+Djf8
AER2HhJgjR00h4nCYTb3EuwOQ3rsPOkKbi1126Ev9DAmuelVGCENBlLfNbrqNrhz0TAFF62GHSey
zc2zYW2qsHuQxGfTOd7nvRiJOnbLDme2b4AF8IhlfmvV3mN3n0tH+Y5gOFVRZmiLyPwsrjoGF4wK
GBz6HiYlDVnF1E4SMc4dSzl015bDODVshnGcmm+n0al4THeNCnzdCYbnLJekEkEdePgphLtmXaMR
wdyN6bxdMlNxWZFYurS0je2PQevCp+H1VTVxiUpxXE3JIUBttesPJfwkAwnbe/g8PDM1bp9z7VI3
lDrtJF2OWtGgTjPxaXhQsjGiSedSdJ77tbARbmpTEcSvht87uGt7LWZq8wmEzw5mN7eWjsnQ4jCO
H2FeNqalg9vwrncprpE+kAbVCXQkPod51UP70Ej4NRmST+mMyy6RUQQXuFYah+U1n4RXANc0phGZ
0gGYNcnQmOJlK8j0c5DuPgePLloTxMcpjRScetBmL9JqY2GG8Wd+VWZBAxzETinMqMSv+25tPvN4
F2FlkE/A21m5jJObbdr3vD3A5GqYCEPzsKkn5PxDQbdr5lZNZCeS2bQSqzmxfIL54lETdsZOfBIe
WTDZ22ayKVm6EhhX03u4Xr0+EmMfSG3+sC+3jDAyS2w23QTakyZuzEE0gbUK9XDKGscjMoLV9w7G
tSzT9i02ZdhdQuJP+op23Y15S1xawO2Zo1rK8gDxOOzwHn7o6a5Ld7gGkVczFFZC48+2I++6Eodd
r4Zfursru+ygpTxo6tIqNnGyapyneQ40uu+j9IFtos/+alEz4mYg8sTzls2vS9dV3WnjuDUnajRk
we8/5oGF4zPB8pnkFNXwEvAjQNFxxqw49KsLY4IRf96XLnMxTRykF0VfHSXQwA5q2L6Gqe7Btakh
HACf0aR61duh6sb6aLs8LPH5TDClaTx1jJl0btx86kqJExhgvIdlPp8JtnWw3djNYtKp3NsTss2H
HdUs0KUeXPeyo/sAvZ5Uy1IcunatD0BJDaP9w6n+3VXfi01MQuY6jbrIHOpd9wnRW9jkJrgBfVd6
TmlrUM11Wk1jedhZ1x4kjMkPq8V8DphDG7ScTSFPdd3v7/dYrz/Xcf/Y3PoHoOSzwHKyLMgBWTll
BsF9lHPBoeGH0MIi/PnX024nJ/iFG2hXb0qdaASt8zn6MrT9+yAg+eyvBmGUw+9niBPM+crbZN6B
nTiVq/0lTLyHU9QOZNhjo05Mdz0QcOuVl885ansZhlV/3Je20kEVr9VJWZTUCl+1cWAl5pO/YBDX
OG0YRHcU0t+ZD9GHERKJz/yCH4Oo8lKM6rSfRx81C6IHWsolcLl4MK3jtpz2baBHmMJ10Zv/x9mX
bUmKY9n+Sq98buqKQVOvrnoAzNzMZ/cId4+IF1YMnoBAIJBAiK+/27Lr3q6KrqzqlSvzJcLDbQAk
nbPPHswjYX/MTTD9mfZFKEhFqdZZyUB/UEN0mw3t0x96VP4H5Qs2Qs2cDlmZsEXHV5npobtuvF5e
/tjr/zRsHkw8qX4Z+TEb4w0W6pnNri9SvX/lJ3hZjP+g0/2Zz9VGncmEr9hRm8ieXLWu+t5yUtcH
6FR5da717ps7t1f/i+b6t1b1H73pTy0sD0k1rGrq0bZuftiKuG/7xBy6DquuPzbV1vX5NGrE1eRD
OuFs31SYB34ee8MafURjrTqd93u3hnNThaj6mqYetLuBgNLa5akKu/c5ihwz3XYsFuZutZWP2XmL
Mj51+bz3ddTmJJVtWuez4waF0Mhw63Iqp7H+auZGL3GedbzV53TvYPdcBjT0vC7DtPq56EKqtg+w
kPNrm9MOET+w+Q7tZoc8lkvEslwGWMN3p9h0DNb3Gpil0zl0Bf2CD2j5OLyYRKORUVyJX7XR+Ot5
mbK1ZKD7pvmCK9QV6+qT9moPy4bUpY6kdvg6ArTlS77NMYl9TgWrm89Dm3Xyu64XBP1AyLmPs87h
9qXCpwtJ72R2HbZ8gGmULbxvbdyVHMLJ6rBjZJMcoqTabFEJPGmyWJkPVJfJulNyE4uVyWNLl11D
FzaN4YSUgKHgzKzsTpGlFSVpU58WDWcTqjChRSk0DHDzbarZNIC/qcamLp1Ev88LICRbPeKTTcPM
c5EwDt3I2l5VGUfZiL2E6eUad2ts2nwWqOxyGUe9Lhc9JF8mp1npw77x70u7h/Ro5pF29/ucCPba
TAnn96mr0vR2rxqx1GW/Q6OSHaVfYjgi7Iwv/R0UGgL3y7StwYeryS7r5UjgaoxqTJNx706BpZv/
NgndjnUxrgCDzxwKJPkx3vhmQ9EPGZLEahFdbCD7pR98BBXLDtIWHHT4si6HgHs5jueEAkhLzqwb
RJN3rJNH1jVDMbLN6xloSojseqksV3tDFtsd/Iw96p6N9aI+bltSDwKPw5gsR5VSuxVj3WQJXGKb
0JfoaxrxWbh0GG/ktqPxayhZtjn3xgHMzxG5zBNUUM6laVpIJF6rp7gTMzvCYKXbbobEx0C1iYO3
2o4xs1traLdIsMyByclgskb65VvSR9DMzCvPzAdOdSzKprJUfUPvI3osGp2Na2kVHe19t5CafQQ9
a9JHFThkQnIkI73eaZR0t3Hju/1HO/TjAsXMHI3Z/YRF2xwG04TkbHSsprcm0oIk2N66mtGc60ya
e+JcF3/LVFWJkFe11PWV9+tKr8ncZuMn5VmgBTzvCdTotU9jCWtnyvrvlfN1V+fd1IlvNGWTeYO6
fG8KTJdwdkHnMYY7sPqswC+PUfZ9VPO6n3ViQvjY7SSOC9NgJX1XGR7zU90l+72TpD6SZBLqQcwL
ZwciWtM8T12z7Y8eAo8kwiQavgGivDgRs7P1bhh+7TC5aW4Um9JwNY6qr66mRMbzzTIhtbFQWZol
nwVD7vKP2HfVPSTk0TXGSPt3SFt0rjytyxoGQVG5tbvw18iQWPcTzIPST71sM1maHkrHJx6afriP
66qNz35sl3CIpkZtJxlmwq442zryRljVVc/NJGtTmOAieCIqIi1ENJohyG/dLZ3vLNkdOaeGmf4F
wR3V+LBQyZsjabqRl25TK/ZOT8XcHMGfjue7Sa7sew9PgKGoABn6h2YjM7aSZtz8gdHRzXVJMK1a
bzoFg+NjVS8G8pqIr/XHRliZnbUxhuWuimb2rWmkMkU92M6pXAxxRRB0lKXb2fbautL5hESls0MS
50O/e/M5dRKfoKSkjmFnuOFTtFFt51xtkR0Ow8WSJ4eh3d7dTx7CtAM1s/+SkOAZ4tVqREUWiIJg
dyiX6vcKS5gXqm8SXTDt6fgWJuQzwuBIa1ie5Wm37+3ZO6hkPwbk081V3kyOb9jvd+PHMVcOx7TP
gXiv9rtf1pS+IoJjxoHQwa1GPvd4lcuNNG6ZDwhxxKTzMPhE0xzaz4Fe9TKW3WFd67QPeR07sd/4
zdZALTbEWMkTqQJqRCjZmuZskbIW5fvcttEHRrs5KZuMLVFpyRrLkod9V68z2VN1Wt3u5dWix6gq
J59U4TZFWM4jia1qPwA5SkKXt33v5BGu8bW7lh06mPsASEwcs67Feeeqik7geWfNdqtrorpi3OfY
FZmZeQTdwmyr1kM9t9v42ZFOQ4wxZM49thvhyWnEyFjdj3C6a6d8DRkCdOArnk9+lvE5TqV1D9RO
0fA1aTfR37I+tXjGhkb3zY+0FzueBA3LNnsYa9GuR3yzTR2o7jL7wrq1qa5t3ar0DBEt6++WOUHA
1wHbUc9K5DKl1fsOq2R4mttG0ZMd27oGtxkKLDwjAj5K141ywZyM0ik4wwk4xORgDVIP89WFIfmA
9xSva9y47UsP03ho0mXSjFkxwX6xLiLsT1WxVWb7oBLm0pOQBloXOgwgq+p1FlERzOIQKTePfoOA
ZOVxgYGCaB7xcSl92Hyo21M0JBkmR23VRctHrfdxuAZ1t9lRFQ379h2nhh06eKQSEj9dJjUpKdJm
4vvdTmSmLXbiPVRnoXDrYTTLkG5267EhTw9Iv7DzmbhGutPmmKSXk3tr4AlQ4zJamzuJVU7gV1fv
S11MrQ/hKZVbL3Okpgl25JnG/pZ3qVfzA3GxmL7uszWZynu3bvQcspRs9xme/uaTshsiaPAl07F6
6ACH+WfR4SJe74mat3JIF+pOOP8jU+PiJno9+J1zX6N4cuOOmznX63H1XaRfeBycflxxzdbrSYEW
+qDWtmmLTDWj/bQZntDPOuFB6BwOYWQwuFJpX/8Y4JlKHuFan8mvI5xXui9TP3UJ+isYIqaFVoni
J82dDajfGiLYmE/REnAU9huOD1R7sIxlEV15aWHSMAZw9Hj0Da7yISsIDnV13pep+8gXPN+Hjvie
Fe22A3PVfMjeaAJeRJEGUakCvWjGkYg48uUq6Tlla55uRE/3ppkaSI5j2HcejVT9eJdq46M+Z1Bg
fVXj5LYjjdtsfYgHMsN/F3NW+TETg2+Oa4+knMcpadJPwiLlpbRZBShAtJFj92EwFT+SWfnkAfOn
dHjuO273m1gN04gNM8PaAC0eRDVx1cFEdb6rdC/NVogsqx8DmC9RsbFWr8929xME0dC9Jr6AjWHV
FVzGrXnoLDCmvNF1Px3SAF1tf4RELT6IKh2GciZVgjvRNn18ly3mkuTK7KX4EaBWNnUhxUqTUi8T
iZe827fwpkQP16R811AtfjQQt6WvtWXj7TwsqLiKplZRESu4woUCu/uac89S95YssD041cwbnPd8
IyjTUwh4jctDmkXu3OIjkKdlHBwvEsqmsgvNMlx1G5b6Z0pmvx4T3vUxkklmWJ7FWZuKMu1BD85t
Gu9HicPIu3ymlbL3C6hTcig007y/7WwVHkS4BKDu857eWCE6chBIsNlwjKLkKOc9w7bv+zWqzx0b
qPu49FW8Pg/zEheYkUzJl9BXfi0q32QnlGtIzeygohmBtOfzpppT4wyMNTLoqnHYpsW+O2nyEWFI
rHQzSU416oE3r3l6U8NKSedMqskWTZywGp6tJsnHMVPsWvg6/Mig/lF3CZaOvtqV3eXdFCXzI/Gw
eEULlLrbmolkR+0UZ/PjGhnQdt3GCwYZ+R3mORBrI7w0hRs5ZMh3YRbJy+ij+tAlinW51pu7Wbte
PtQeDvplh8e4oNvii6Sp2lOWZfJ2YXW4ruOt/xLqVX2QaT8XLWFPPZ31C1VykHlNjAXtZOm7bso3
0kpv8xrVbjgGRNWFE1uT+pXFm7l2KghZ4nFmhd6XfTsOs6LXAfTF7MVHgn+oew/WQpm4gUenSvPV
93mFJ1dAJh8a8qN1VXAvlDIW8rXVmwCVM159KNuLH8C5D9sO2xQxx8EgWXeabII+pk1HVdZsjaPr
Nc6gxoas1JPruYkreW+jzbrjCp0/ed1Zn7BChmx1N0tmaP0FlaueDtQlUXIyrWmzW7WtPcJe62Ht
cx+bWbymS2/Iw5QuqTnApiEMsCSwrDmP0Sr7z1GDLGFV0NDStiRWNS5faItSVLqFt8Xco0bxeZVG
adrngYal/b4Jmk636zau+zeEUnmUQ40TFE93j7VFTa4gGFIHuOhUydUs+lY9bTF6/8M4ZKk+Oo59
p0RHU/PzdKHfHSauk/QBohpFb8CfTeMylhuV5xiyqe3XFmRs/bBYJwwpgqzX5tpONiUsh6GIwHh0
V0kfntAa8wRdMCib+421vcW+0Azcx3dGY0l+6NCs+s8d7eQ5GzEiS632/HNs0y76ojFgRZu8jRSJ
iwChmwJPB4qlvFpW7O52XrZy1fUs3hg0/e5VeOztn6ydZKJKyqcI51U10Gj9wPyutjqPkoSnuXPV
rAtZpX1yb3exhV8zyP37H3MLNdtBKMQWPoe+2SQMB+g4PyLjmXbbYVjh7nol2ygZHxlWGXZEks6T
wPbUbBxgYTNA1nxSKWn8Ke2ajugy22eUAHnPGKthAz+i/0DFp6YirOZSiyDGxfkn5ea59leyq7v5
tbfRuB5HFTl5tlYuFHdsl34up6Tf1i+dpNAisaaT9ovz3bQeTU10VMhuiW/aqa5YMWEQ7m6DUlmN
W8JbiAEtUPZiNuuEonRisJN5XXa45EIgPVW3Y51MV77axPOUJsGhOqD7bh5C3/f5jGzQHKKwekmR
LybUeAxe0FDUiFNdzntq0aA1cuG5dX6MTO4W5+0Tjz1vfl0RbSIOe0dIUzJ/OVfz2iJj4lShzL5t
Yc2Fpy6NdXpdKeSz3pg6jG9S4CKUqXNZ3OekBeXh1fa7ilClBhJdbTue6yvUATG/djgC1Ffv0/YK
LUAsP4+wOOdNQWVN2mez0qaBJXSsWbvkeMhoWgjsqgHdXATh3M6buL0XypO9mLHgX7qY6kNftWzA
UquW65EAwbgDXpHSRzFsrLv26yy/AYn5hNLDJQyRKgwU8BEZMcnzkNTVF/hZqLasNTbFVs3dnXME
ldkOgxF/7rloCrMHBI5A1kFOLZ/T/m5yqe3v5mqxN4sxo/qKgGj3Hk2dteW2RLiN2cZfuyW7DHc6
gbN9y/wrQy3hynqfUKuD1+S2vPdcHyFWlixXxteoDTCqXBF2JzbgtdgJLfAdp+49VCZIYBQXpAfC
7/m1QzGWJxQM9DOgdGlv00lM0WPKQeIDKYgP9XpeWV27HjdlCcRC0V2p9rCRVCh+UIK1T/WEbPhD
DPXK9Ou2Jt1aRA2Qqy/wakAa7kyFzQ5Dk4QEj2abfJhb9CNXYVA2TxQ2UJOvy4wUuzpZmu+Capu8
pn5p1iJoG6Pb4Vm/brlaRR99btu4+iYupclJbFCZvwRm3l3XuwzlrpxiFLM665aTRCaIKCSb9ftI
sWRzgciOArEgJDv0MhO/gX9duuMiBHGAv2WVoZVBqPpxS7jnn0wdSeiPW1kBGYykhjOSNbAoKFGU
aH9N2Th+7/stjbHPZY0aXuHUJlWRzI1PT8pl4Qda53q/mfuketdNv0uK/O+wJre68dn0ElWE0fcY
kRn0B1rLBsiIqumtHOcOewdpQpHU8eQfZ1lxA10HZktZzWry2EaMAc1G6UFuqIeh6FGuM0vKze0k
PaxstWve62X7AE/kOHszs1yfoiizb6Li8Qu4H26/GiuIgE7RiMZ46/W2HlgmYOi7q9W84Zp3N0Pc
gdbGFAK44XGSjeexkXIqqBm0z01UdZ+g1N3yiUK8ZUzm2c28meiRM7/dMbk34jhWsF449DRsVxNi
Ja5i05Nzhkxm7HlDal8bWdPwYOoR6uF1hd9PTqelch/8AovXLzAQQXNmg8+aT4CGU56zNeA6JF4p
bAsyjdMRFQeH/lgQ99JsDEViCiihrlFlKBrBHpbvUTmDBk8PVNTATTzi1ZFTwue9vUoMMa+wX1fd
cyJGiMA3JDA8t/ggedqusVkKbNvB+XwGNpY+mK7hWZEafJyXcaz8eFRTpZoiybjx3y5c1/M49Frf
bJzvPd6ji+xzF2e+f0hr7lGwhTY9CmGi8QQKJfdPgKKHA7aJYTjOlCpbJs3ax6DLIRj2MHqCTQT+
GNe4F4AjKkNHg3bbg7S8huCebdSotRjoEvfXUbTq/Qr2Y/uPiCI2Ke8RDXlT7+OG5VMJXI7Ok0Mn
s6WYJuev0zFGwdm0w00wDX0Ge3mCQgD+jsA5YNSQZrz6FO2gkx8FFDLhBTjTtuIgsiT+4cRcJxwZ
ON0OeMD2ixnOAyYU7Zdmn6wucKcgeBddg8ocO2a/6qKZKgP/cpgXyTtYpAleSM/Mct7GbBJXHBng
iEatVibaPKKwPTx6mV4WYaTWuka64oSOCZtPV6rdSn92EGXIPBk312MZY971vuDsrM5mdqQuVzhq
EzAxdZLFr2OGCq1cvZybgmcrg9bHsdC9tgw2NSWB33z7qQegkeV6WJrmhWw7do86ilh8zXisaaFl
0iflCDRsLcZhBbSVQwS11aWCuJA8ZGaaxRMCQdo1D3CBNoclVHTMQ7JnqGCkid33aEaqQk4h9ZBP
yLJZ+VUTjOffGb6Uf7MoUNkttXHPi6znXfLY157ANNmgKWhaq/VzgIC/OybKEh1yCrH9CgCzGfYa
jboD5ICHekNRiIz2akKwtrTVXTOSdj/HGdmGO2mA0+bMpB5+6aaZ3wlN2+Y+2asBvKSKdMNpEWuU
PEI3yRnW1JzuHvOfIZgj8hv9fATTzegCUxW6fBu8thECEncnzlEPOOUT6fXlDjE0PmU8S6MgRkUD
pu8X4IddAX2Fs0sOL5Y4uSEsoWguqYuGUwuexfrNJ0HasmKsclce+7UvZ2pMd+jTVExlgkQa1+XT
rENzRDfYy5sqg/0ayJf9JR4MaWljqZpWbteVI1wU0InUkpZwYiBYUG2lMc/GKHSsr9m6pTtqFmey
E0CCEdP6CbVdDhw27nIIRndVTngM+mO2LfH0zlva9RF6hzhzKfJuYWLyq+l0Dz1XhwmZw2GqUSdm
RdTP8oolJgnbuYtFKl7hGa3drUdrvxl88TZTGWqQLR0fKG/77S3Ct5FR3sQuHZfjxc0aDekq9jW7
Xy4d9E0Vjd2G4gt8WRhMhaquH4KOLZqVeUkZFnjWAbPiBWYtFN0qsVoO39uA7hrcvsA1eZ/dGk0o
BjhFwzQ6aBtXpNWM87WV4yIeKDaPGqWiUPuPrsE04otSfuyOWZ0NkcfVNemALGY2t08Zyn2s5UTy
jB4NSqPpvTEZ9SJ3sYRbs+fZIj7GwOdaxL8A/3ff5Jwt3auJljF6HGsMfJ7WS6MKx4Ig+qTg6wRf
Y8jmzNyfG425Fx6SzKTHmaPxYQfkKC7TDRSANfXFjhnSiE63nXnLS0KZEzfeYJJ0i+pasFuURZn9
MPSqm695nfrxHC0IZv+SElKRgl1qtuMy6mjJe5746HYkcKd6iha7tNjjYENfSFTGwyEsWsz3rXUQ
umhK+Ppx70FpLASxGPK0aT/AYmauI/ddMGuqj6m32PwH5Buodb+OdsR3o2SFr2F/9qZOA+opRFwX
Md/ccgrjINPTDJTdX/Ud28krUEVKr9sOk8DCEA0CwAF6YjKLEs/mDmzrgqhFx2lOkqVImVZRjjV3
x4wNGWaNFPYYRxKDWj0d2yjGvIcNGPGEvEfEmsjDtBlazg2n2clti9xPJtsiMsDSLfGLBKZXIytt
XGSsbmk8W/tKLVzV33mdLfoWhW3Ljz1tFvnBe4xmyr4WqoY6EYS0x3YYenZT1f3QffACF+YmJKKz
12RBpM7dis+aINE87PRRLVzX15uaZfeCRq+t1oIsqJanUo1CA7bO4NHWkmLBYjZRAe8PFkyJOSAX
8tiBDnixMOaf4WBIbFxICQNMfdAYBdnljAJsxoV1XJn5Eef0AOAZZByM0lC7yfAhxWWHuErSpttf
MD2ptuOKlXyU+85v0USz6CaJKonCjhG41yWXMZ5IrohizFx1ik/0du9HKK/jJIzus28XCdOKboF1
yNHVZgtNHntGOWacCUhXZLJiLRiADftFr7Csfxxhu2CT48XqNQamsVGEu4t5l6sqpPa+K4OeL4ly
zrJ7OlfZcM6g5PWnaTBLWtZrMMNtYuFTA4iUYN46hpkvxxYgfpxHNo6jI2aUri17UUu0nWayBhVS
qtv068aRIn9T7bXanmHJkDlg70017z/Sgab1N9ONpD+TFFLHMwHqO93BNWB2H3tYUqO2GWi23cZZ
ZMOvYaLK3IZQRxYA35aIYpcoR3LgywtmK621IPtNLrtbiLa+cAHBoecZH0GVy54kXQFuPMPMPMsu
9NpVHCWYzff9imTgF+K72t7Nbo+Ha47Yu/1yt3kFrYN0AcnwlmfqG2C+KC0VFZGxMGtFP1PYAU+7
PqCy7nBAYiO9tPl+Nv5BRvOaFiGK4hmLRUwz5BKGXq6gNICrUEnMVD5YvvYR7AZa3v5YLufjD77A
PgFaclqfp1GGOCfY7/oP6TwnDmuvpnpyuREWqmpATAiK4g1pSZkmNAK9Jq2n6j5puPNHbKPwQlz7
oV3fndrMdjvuXNO3eVtYhuZlUst1CHzf3gTXZn24eDimJ6uXKtcwu5lyVKP1BSw324ozFwPMRxGC
5Ne2gdLgHoMSDcE7auMd0NbUAbWiCK7MqPsK4eokcgiLEn/YmOmA2s1T8wyaRIyKaEUo87MCsxHn
IjI24N0oV1HJV26IBNN8IJhnrVdDNU+jy1vo/bJ8FOARpAVm3/PyDiCpBngLwIa4r0Ar9jbKmUP5
qnKKXdYBQ+xHqD1ymNSj7zxukIciHGjYMtZ8hsI6LHO+eITYTFd6dbRVhZ/gH446lLCNxuWcNqBy
lP9uZwd73oiKK0yqUlcQMIJsHgk3VQWMktOXFL8d3ay+qc1ZNhfst0b7vZnLnplVD2Ni5wPQgn0B
yTqqovO/V8tGtmCz/gSj7m0rCVPjku+hoQ8YWA1LySqIv/8Yg+lnZyEWskGPg+0PRH5S2Ue2/jFy
/c+GQrRPV4xr8Lpp+ywAWrT0D0pofrYTGuHWKKuW8yOOSQIQSa7kzmK3tv9Cw/s7hlUYGfw9BxBQ
WOLASMNkIsL6m5qxdTfaRyM8EO1sADglq0IsAJdT8rhZQLdosFREijHacJ/+OYXqwir6R2yjn4hl
NUY0WxvN/DgizbQvW4ha7kAenArUaxg/YhYnzv/8nX6PTPUTF3SeLB41cIqPMASY+AcXxmopTY06
t/Q4meBOCvuHHlXpFoZ/cYV/h8L5szuRAj8Mp0lCj0wgk8PBduYwAWv+F1/o9179J/aZQaKf5Y2k
YI7ob90cv3phqn9BF/+91/6JHooyfdKmrugxIPYjb+Zwbpc+/YMv/hPDzMWxG8aF0SMw6AMGqW1e
xUAe//lt/r1P/hM9tNrW1lHZsmNNIoszfa3yuMHp/8de/fKuf6ODTjqTgh2E65LsGt68TiJlch8/
/PMX/50nlKR//+JsjrU3m8Lj0nCZ/LDAlHxBWEiQKyQSbXKzgI19gsiJmj8Uz5f+bFPUiNpzeLbQ
I+JQ6Vs2zfZexYBX//kX+m1z/Qer+2eTIq5CCliozo5ayAYItByCx3AF/72H2LHXDJU3/mbI4oFd
tUZ9VHv7McaTRk+VbZcGvUrdHJDO+GNbU0Q3546jJPuvT/d/vm//Ub+Pj//1Oexf/hN//j4aNPt1
4376418+jhr//+fld/7/v/n73/jL1ft4/1W/25//0d/9Dl73r+9bfnVf/+4PB9TlLjwt73N4frdL
7357fXzCy7/83/7w395/e5WPwbz/+ZevP3Q7lGh65va7++WvPzr/+PMv8LBJ/uYOXd7grz+9fIM/
/5K3zdf5f/7C+1fr/vyLEH8CfkPRRCUkiSGJxzPu33/7SfonUOh5woC/UCjgLpTRAYmnzZ9/Sfif
aEI4k3EsE5aAr/DLv9lx+e1H2Z/wG8BW0dPRlMfYBf/fN/+7e/Pf9+rfhkU/ju3gLD7Nb3Lg/36W
eJYQIdI4jjNKkZ9GKL7p3y7BCXYQdpA6vTJVnH1UdbaXS2iGayB7tlzVtlytcIdpOr3lqInF55Zr
fZtkdJkwNQGJ82qQMQMEk3VvqmnaewSBs7tYDuDT4jBqZG4BEWMcMTP2luwela9HS3Vbdc2ISAI3
DbCODOyqBt3rTaZs/HUfuXtrgLfBNi9N3APj0fZIRA0U1JKoyCZ07p6I5HqbMYVYrJ9uMjuM18jw
RfyLHNwZ/QTfyjiJ0reI7Ul2Y5xVN6qXqc1bkQ0fu7bayblrs+iGKLxRQTO1QvfJVga6oq5etlGh
fKMRvWFyXL/glAHXUEXAjIuJh/YVoyPyUtHg5RE1MV47HTdQVXqFPbLu9+SHrCvMkkDgHa8xea+P
FOXv/YUeAvtFNOO3RCsArPOIzAQ9cg0GAEvnp8iA/ZTrpQ1P4Lyp4wqyxd0gsm7NSYcsYdScVC8P
tQvLr+ARR8+Y6FUYhbSV/2owzAG1MapWEGiiMN03W0fBPiIgqR4rePowzBLX7snuIZwZSF/HJQAZ
y4cJQHjnO5BMFz7egoFJzyqOaxjxZMAlNVfylCx0hntk+mvjej7hayE1Gby0bD6pqJuWfJRkEcXm
CO4u+uiky9HUt1/AROpAnAGJFI6W5mh5zD/QkfAjwvXmH8H1bYurUS1XS6TS76aL/efYrew6Mqq+
+b/sncmO5UiSZb+IASWpnLYk3zzYPG4IMzd3UjnP09fXeZHZqKxsoBoF9KaB3gUQ4WHm75GqIlfO
vWIlXfVgu4vxMsmyvTCQTK0gWYSj4VQQqbZhw2JZ+JlM4y5wUts6DjEaf57N3h3Qbc0+w6yMA6J5
iuNCKDUcfMoYgwHVw2rVzokl6tNGtwfrs0CJfibiqH+Sgoi8PQlW4kGtGh01c0VIzdSavatgk/td
bQt4XSdz+4vVuubZahzjIHTNANpkE/Nh6Faj8MuJjxSBIiv2uualDyoeJtPPvHE+R1P3VIg1+vTa
MjtqmZQfTlvYJ0db8n1stAYfU6V713bgg/Itp3Q7mLnGqoKShpC20Es1YJOqc9atDl1R+m63modu
7IgzMu3OwCw6to9aZa/I2elGTEoLrbr5rOsiQnisirBBLHttZDsHrVcdBTM3Fj1EVWgt8q7PILgc
C0OF1ycY5OVblKhNMRjdtqqclv2QTnKWwp1+kEF/6VrbXAu7fWra+o+nuiiITLRMj3a5rrugX+V0
VzRx6Fi1hG65gUGGva0U7oG7yCp46m02idjbie65RI7sXF/JefH7qlt3M3x778t0sI4twPUkzIkD
oUjM0Fv74uw60t7wGo4vJVrFRRPAgww/yCGUaCEPvc3GY3TMWxDkKrRk8mNtdj+BbbLS7xmNjTyu
cfIrKzkTQ04TY95UIKHe0V3nJNmZAx+O71i5BnvhTvyS/CFL+BV7YCLehGnQzpPVo7RPrpP9KLMc
0B8Z2uKis3gs+nmHoC53YpRiI+MGALB1Vta8CLErYlkouLQoenH4aIOhRy2ZalRv1I2iDbMEEB6J
Jm42ZdoPW+ba64VOUjy5abt+unBKpm+odjwxfa0OdLnZfWS40ZbxrfpTqynqUXhBtHwQV1YBLIzy
lalNs78a4PklYdUftczFvsmY6mMoytR+iRQCKqQfDGLnGJfWBmswM0/tWZjUvkujtXgcFmbyET1v
UVf9hoyJ8UnkevuuwfkfnaJZkLBTx9l1AxoCn393nwLOj7Q5cvhmmQ5NneHtyZo+6Vm2nCEo8/fW
iLtTHLPyYs20p6Ees0Nautkjwll8Z0Pp3hlaVuzcsjTvm/Jcq/5QjONyL3qlQtiG8cXzzHFLK15C
Gc9Oc1izWruKrhT1yeRpupsQXs9pwgkfZGiAR4ZUH5Hn9R8O0WavjRqqCx9z9lBkq/zsrZLdCw36
Tx00aDd3MXj0mZQUwAqDtKwwHXpzQ7qrF3SWa1ySYi3XcIoGtZHecMqXVQbJSiS4r5Fv2mojYx6P
rUpP60TAR74W61O09lSgERDVm+vN5map6cyKRJpHJwfR9Yd8rYPOTtMfkOvhoGO/B2ZjVvSUAyVs
h9vPdpQy73sazm1cZMve0Gv7lz4ly85m7Ve9cQtjCcwyL9GB9ZlhuTQxAjldTOqFjPPdOHHd123D
kEG3AU2z6THxOiv2e42YShfW6+CtS4xZgSWFKoryN43A95ceqe+8UvVmvu40xrGWUTMEZWLqh1iY
P90ishCjRvaN85Msq7VK6xdwKQh6SelRhl7TOue5dtOL4XaL63ecrVZSfAEYKB7jLL2mso3vzLpj
WB2tUYzkNYE2IiAio4AxmtpmicvqwWGTZX+YGrU+VwbFmz9XuClE19qvCEnjC8lcPzgKqnWnoo5x
epybd47Xxb9Rv+JtaSd9ydBqBvDoYLdI5/XmDTiu8Zq2zvTscNR8RTNZuEFJy457IxMork5q1S/O
kua/ITCzgHDTPCwSxTwYPesjSQ3D3rdpY971TY0wxSE6x2hmLKpKj2ttje9eFH8jv+95tdwTy4LT
TYH1xAeg25eN/iRWvuclrabjgshm5SzdEahoLOaa1kOZ1osBOsRLsic03Dqx9Np+Gkv871o3sFC7
9PqDm6QUHdaadd9gvlfcM3xRtDsHA51p16RcpgyXtDSEhMrD0jKmhzjimQZy4GotTA+3UTS9AFzj
el1J9gNMb+9zR84vGRRFiLPD8rO8JCC+y+XGqSzt2Z2dzSwXTCzCcB+mDqK6nWLqPVOlb/qC6WGE
dNi0Y1n/ALFlu4nwjk1MubUHIfLeEXGXu0i3q5+xM+btBJHJpjMwk6dWqmZPNBaFidHtAUiSc1IN
yxYUuvkkG2E9zXpl/2HqjYkhsu5qo1WnQuO6L41G/17KhRgZlboG3PLYmYm/jJo65UjqGJa6bP4T
RWI6r0saq3AmZe+62C0HyTRX3wDNxmbSOsbKzIl3UzGpexuzyxbjgbd1ej3brqlTX4bI03ZEUBaB
HkmbnM75p7DX7h7LzZXdSf1eh/gLFx3/lduTv+0sdnZuehDnZZjOFJ0qBAyUd/lo5Puo5lgHfyRT
iyA71tycl56ODbCi1r07J467bVH1N+w+Vs5jhZnADJpa6Nuk0U6cifAkRp4mz0XDuepX7MtSgZiG
lDLCa9aTA3e1JeJfe3QFXPUHXIzrHMeom7FN1DhX0ZfkH4osmAHLLPRXLqlmN0+9/tuxprg5rnjk
GvitzPsZB1fXt2vLbdTJcXrycsuB/BrWi+i0C9Za65FicjmyoSPxTdFlxA4rj2oOAMp3i1QtmHz0
LvKn1jKf80yP97geOkpKLwqnPj2ZVm1fORH6jdXExdmODbZpF7Gp3pFpzLNRaHiaqTPXa9sTx+HX
gtFJTmX9VMH+nnlfrYHaC/SpbZbxIdMAvv3Fsd2L1PRe+LVdrgZTXylCWDe9DWe9zJ9W3TbwZTPR
+iizpDibHRaZgFVq1tWsqFDANkHnKVaJJUpiu7qH/bbsoCu6yPYZKak1yJo2XjfxKqB4sqhO3gT7
dU9tXQP3J6SGHGOHEoOVuIcqy4vryIgvx+dRXIzRdh5IG5UmBRgBOkFalMUPGIX+HdeDC2SSOR9D
og8H1/WY79m2yqoAxjlLgqhE+mWe7pIPVJL5H2oVUtkmWif3GQAckrLN2mUzswYajeXmdmgs2Dsv
xyNK8lSoJZ4eLKz22XFqfSH49L5nMGpOXJns8tscYlasqTfie6Ox/jT6GO+jstIOcxoRwlxoB1En
e2mp61rBKox2XYR5GvdPYmrxfeBg2kUWuWsZeW5BLomAvLUYjlPs+SDWALikrKgN+U2OtlX+EQsf
iYq1vWHPwueLUD4t8s264WmYrZI3r53yAFn8GXv+4uuESGqUHT7t4LRt0/6Odh7z2eSSIdo1YSG0
valAzWlGvrXIPGdWCl7EWqUVstFnuP3ZV8YpFrRmbIxCV8TzFMKFL35WJf2BtWLrppj00Weh4RpG
qjAZuI89mYYDv+dISIvtTRiniX4A34Qnnb+KsQm7IdnDZyUhked36+Bk95NZEIqdiPXCuyd3tRl5
IVcPCYzT0uKC9AzzmAL2P0a1m+0kEEwQN7jsGjFgmJQKFlurSxNHcpdRlGrLuCOmLHqAwdCjAMB8
MQPNG9yGJVd9e7aXIVXBkPP5um3uQIVrkCymHPdSc6LXQTeGd9Zn1GmQJDkNS9rb6jR3N+poNcbx
IRdpARIV195rLov5qzfj6NQxtbP2bVT7FDTWezzVQ7zpoQvTQGfcNx8FiwYe7Tqei41tmoximUn4
XBziDbNT/gS0Uk++1kpb7LQs746O4/TUoC6MI2Po+o3p2ZO58CiK3n3GdGKdOGAgsFXt7uccU0bN
4L2xJ3uDRwvDX+dtal2Mv40FbJfqVLhXyE13T49V9rxydf6xuK7NcG5pUr9qo/GTN0sFyqqh/Yoi
2RX2bO9mrCobS9HCGYBax3Q15n3vohL4LpzlRhltfcKJi8CAL2h6jaElPiqMaTtl9wNgk9M5Ly6F
i2RIQ6aDH6Vm9g9d+v+2rnZRv/BjVn/6fxfW/osW9/+Q+qabGHv/O/lt/9UuX+XXvwpw//wz/1Dg
HMQ0z7nlJFq6BOz7TwXOkX9JG4RE6PwID0DoPxU4U/zlIr2Bj/IEmvLviM7/pcA5f9nkQnseyQvC
u/2b/4EAZ/2dufqvApyuG+B7nsVPEa7nmP8mwGW6kRgZzqddOmrunSOAMbd0FcW2XNP0Peb5+gBW
zQ9kKvEieE1E0TxLcyOyZtwjgXkHqID+yZP8P8IRueYV5sV8N6bSua6rkC/KirrLZAjzQLJJ+l0p
zbySszFDsrXx3i4sRwB+eFzKjd7Ln2xejcHvmqG/2rkwnqWT8qYorSj/LEtNa+ja+bOR6xOxn8I4
3sr/+64xM8rIsQx7jM2HuHZjGKwofWW7eXdsNTd65Y5ILykAtEIMIpPLg+cDpdpA0rh+mvYixDt+
s0iRQ2umtBQ3V2ZgxRZT4BKv8BX/OnspOlWFEs98aDZDtjHduXhSfev4I56X66DjmvAijNkJ9P+i
bHGmvq8vJlv9jjMk7NZC7LlKY5RMebLsaexFf6l6ruzUsctrY8juEOedvnHYBvCYl5z/Y+8J0DOB
kWewrgSU5FdY1HHXzIP3gbcY44pWjtzrhsRd3mR3eW62e+tWOdxMDhin+/XLK2QOaJnW2wprMOxj
i8qxOvkmanv0DSmMlyir/5RlD8lSwhCpYC6y6UP0c/yKZ3l6X3AkP3vREP3WVwnALN21Hn3V6EUZ
LMJw1AG0o+i2ykzER+FZUiGWpAoJa3Xmz3RpJrnNIqnuS3eMzsot5pOnJfMGlsBdqN1WV4UgMl64
4LSQmEtN6GFN5gySGJOUZ3ccij/6MjNJGHWDldiVzj3QVeXZLNguGM1W85QvfC+yKUTQKefPMqfl
w8pOr6M22+Yly+M4LLSyf5tTDDyd6w1vzpiqV0pe0MpGezTstD6lpAD80WYFyCZSiNt0uGUipPEy
P4Ca/ySJ+2lZTnSp27XlS3eik8F4Ixym8ta+phWO5qg3uS8dp7Yu4zikj0nl6qFau+U4N6tzV2Cm
IrP7BQ+tnviTE4/nkXzwr5aJ6X4x5LQHzEvO7VJnByvNN0Y8R/tK66CjSdawH0D8q7upn3DtMI4n
KTGxPhITB8gmW0ftHZJOvcZ1nh3KbJo+C88WX1MEzp3QYYUVRqoT+EUX4v4JM9t6ULPePDL0xp8x
5ONXyrD21ZrNZNdWg/lRj3WME28EsVpMeGZSFZR5kQXKbch/Wl/jDn8t/b2MT2YCtrk6bX1nzYom
xK3rt4jY7Q4fmxj2RmNoKd6+Otum5MhEo1hSZAipP8Ya5AQxD4V5x6SCi2/+m/wEczH8Eafoq10o
50g/vYR0W9UFuAIRmITtO6zaHf6OQd/0SQ9uNzotICydsgpszM6XLInVuIlymoiIkepv114AWG2r
uRiwYuSMs19LD0iNzDeQwXUTlh05scFki+lFtdhLdrrtivxG/mYO2eQ4fosFjzk+ICw65GFSXw3l
aF2M0hk2VW6K7RA1nIPMEIQV1rIEeSPNH8OR6Yxquzqae+1R0Fa/5Sj+YDyyMi6d7YXqHp5p9Zc1
xj485oh7fqtsl7eTUJBzr+bq3ZRJDBmaxsPDrI3lT4dcM1N9x8anbK3Z8su6Sz7myjWlz4GoLb5T
pg56fG4MzgfYBnx1opnuiy5oKbJGn/BVGGt5hOg0bR9UYDmwec1icxCbs/WARl/7jqvZIEcCyfp9
YDbhbrzcxdh26wnMarkd2lOElUohrylsuuW8HYxxGXauIW7ls+FpH3YC+0A1O2uzz5RkBlm3wSb3
Shk1i5uF1lynPG2SzTz35ryJDZKYgo69Py2eBRcyjZl79aTskYpqcldaGwq07lsAeKX+MNh2clIY
HvunOhHaCd4cYwYmxXbjDAmyNNsFlicRZ1Sa0siGD8BCG9ZYTSWd/jBJtYGgSxDnNEIZRGdFmR+x
YRT11rRGetpMP6K62Afm3CjgnanmP61ml28DddCuQknK4dJpUX22TOSPUIbR2zB53QXXw5+GBbVf
lvIe5TwLUmWtWNIp5JW9heLyjoM1zJ+LOzLdAc+1P+UgiEq4aWoHYcdOBCCUM5vSR+fxlgvu3rNs
TkM7kgU2iMxpJyAvj79A6yT9Dn8gBmibJn+izSnSF6Ya8wkjZfwqpCoblD3ZhVSrAM8TcPtv3eVW
Mb1p7slrSMQmSSbrouGpd3zMQLjZSN+0DpqW8963vAjvNarQ89Lb2QlbJDEMBXNe8jISWS075GSy
V/VYf4H2TC5ZYUFDwbrhXCntMn23nJHf2cnd4mgTrFMSg60ixu0If0dW8zVvKNeFPCiGzDVr1ogF
CNgckndBKzqaJvbNfmhmztoaTXT8gtYY5z+NNmJ9nTEuX0tt5I3pIz1/S8t8OHGG6l9C75c3ZnXu
gSyRhRmJs6acvaUpcaTmHQJ9NQ8fHn/+oSPqDsN85k07x7K0jwabxslYGLMVZc+lhwd7F6nSe43X
WXsRtZc/SHOOu3ACNiQw3ywuUKtR61cRnyyHbn+Hj4OuDQmifx1HufThisHxU8sqeComtexVITz1
yVLgDD6novZdNv2y+q79d2CgV2oyMCKXUoGBRv6lknqtd9o4pu0m7Rcv81NVtc0uNQrx3sP1PlWl
ACpNpFu86VMEIdYuk/OYmmkSb50JwaIdcXj7fVZl916irwkfl22Q8Qn5eyJpFSNmmiYPU58gVnRQ
nGE7qVBP1/yb74puZ53d+nXqem6Bsed+l/r6mLUJJrTMrIrWZ8xwGxHVKKQabD0u/0YTr3WamUOw
DgTDjslKMPkcOU687xVE5pm1AygDREjGfRglVn8nGAfyeDpGpwIjS6L3yJ7zQ+HNY0IHzqcaa3H9
OnSz/dBPygvzGg+Dn7Kh7V5Hvr6ss+BEFa7sHuEK68cJ9o6/sxDGFiDD5Y2PiRlSyWKfU0+YTSC5
4XgyrMXZa+mgb/VKHwiEHTO1SVeBn8HRkwRYsE3vbLpdKDi3NL5W3aletcYDltaZElztduYT8Vj2
exZi5hOqZa32+hy7X4Qwm7+wQfJrxV7av3r6TGBSlyxJ6LBf/hfdYb5ntYP3qoRiFd/aaBx+vXHN
CJW45IsVzaFm5esunQhW4KatM3pGnRFOkTKj2lVp550jb3ZPM+y8FzBk6dNQqaT7nHKm3PhTOvNP
XntsIB5S82hFWvzNDGDBU9it3hkd+pq4pjgsa841/3cn9P+bxv8DsiEheP7bpvHyBbPx1VGV/JfG
8Z9/7p/ohviLDsYTjHYtAoMdF5ruH+iGY/xlWzon9f/eOBrGX8Kgk4SqMNhoJW855v9sHHXrLx5R
yyO0hmGACbD+P+kc9X+wGf/aOv7dzDo60UYcSrr892UVxrC4M5brmfk6maN7+2adRuvmGl0T+SfO
em8I+sLxzHD2RuplNx4bQlxioVP8O5raUKq5flZ2VvVeLNLzruMgbv9F2Rm/zMbWBXWzeXBmidUC
XpltIbkTt0yGtTSvHyxCWd40hL/4SSxEYzxQRudUtinLRQJkr2nE+mZHoO/51LY4V2oPHwXrxTPc
bUSpkCRgYK/zjAJVm/I2c4LKKuP7so/1P6wYlzihWVofNMztDk12axGyRDOuA4V2EZK1JOnylE7P
NdHGnMn/JxLMykXHX6Cdjoz6yShqrWqMrlGBVwMXKOawRzcz3rExLPpu0hh/+8zwb5RuhKFgJkCA
xIO5lelZjqbeBQzgk4KTcI7bsBo7yXq+GJFdusQUbFtgHhEuxm20O9HLpHfYwQXLVWbjxcYaftaE
ucTbFVw+32vAYdkR2+DAAD/GoE6pILGCLnj/OlLfXPlgMFlYglrIAW+YlYR9Sh+NHG3cOeyuOOut
m+Bgj+uPTtd+WeDkqc/+HhrKzLuFs5Mn0PuQgK7vyVy98X8D2xvj9j4C3q4OVl6DUq/kCRFbK2L5
mLG4Ir6UcTRFAQcggTWECZndoVxWxt5TZUPo4C+z1ovERXjTrpkzMlNYpbaHLk/fWnedoDcgG8dL
1M6LF1hKdUboUjDel/OsTwGGr47uUfRk1WHzZ/BWjbW+t3ryXIJuUbjgBcpFfcrmggmJa5vDuLHK
qdwbs9v3ISN9o0JQN/jnnjZooQBMVLRdsmyE61+qbtmQHGDom4Q8eoPhSD0/d/T7+T6dTfldw+y/
FDjEAjtu25+qi/T5yFPH9S+KaMFk3Pb9HFp6RfXRiuHW/iNI0iiubSA0dyxgsiP7yCTb/K49fZj3
iPBusUkoPsYQ4z3f2NLG1RHH2a0jR8Y+Q5glD61y7p0ys1+6Dk0+6KNGO8TsTSGwYnKE35FE8OaW
qf6oDVwVKxDUybOy/VgZdFckUrjGU9Ri6SZ1XfXGM1WzY/u6yKomGES9PKnSXH8KBtCX8Rb1ERDJ
lOh37RAzpZmrDDjeKNEI9quIiwtlatvvZ1mxsVukY/HRa2tz56WOaEJcbDhRIvZ1VAG7ReRzs+B5
8oVR0Gi5GnMs0gpL6yx7FguC+C7KwaalxfppMDkT/C4u5KWtdSLPpqRaEDpS4B8Cd2AqMDvwtOux
hjmICaYbVk2CzcwV0au2khG20h4FxVyVP5himFbj09zGkZzfvJHXrulS19npGOI+ljzmvalvIUpx
ZbWBlEV1KkU+PnexzZQpX3LOghxrnJLSvG8JDWh96ZnpfhirYsMCc9IoUkyQxb5hV+iLXmTdCb9t
/GllSL6btWc1zEM2KyLdHTMZox1my4leKk6+51pjGpCSMjwCk+gDj0fePKMumSBuzk1pyRmHYJWE
8iHv3M5/aitpjyb9kRnAqKyI7XH5qxmr0SPZhrJ1B2fs1mGROXHg5NO4kWg8V1IHNZZMG2bqj3GV
T081q5/+DtCbZUjuGdtkW69ocGsaUX1kzpIPCNeA6ECzok7DzJR2FqwRz2pgiaZ7YxO2c1eORhV4
jtI+mV465YubdpqgbOZF8T2E+RD/HXspEVBt9xeDNROebDV3VjvxeCZv+B/Edz/kZN8YVbqRKmsp
iJMmTDrX1jjCb6qGrviRzCWbPb0F1FnnMYQJCbjrjw2mjvKZOp+iX5f1uhllEz0Wiyae4yXjE7WN
yRk3JUlAE0xJmj6IAVwN241Byeli6tJOEnLuyx6xpaLNiCG7SDNaAzfmyMFqaBab2sDkxFbNdriP
VBY/6y7HXDjGs97fGka2hOpWw5NILhR2GNICphdvWZuV80pXEcVgUymWWEj7IZ/xRwX5gjYZsJ+g
rkN7GflFDCvBL/23hMLZgJ8yqTEHBolGBXFQroG+5xXKZtwlMw8jnJpPWa/Enod51Q5DqceHea5q
FWCM9bq9oak22vaN5e1x86kfe/aaN/RYKndKe2p02IZfmcRt6VeOZVjcD4NbhfyIvggQtbC7ljLL
9p0FbuUrTNSkOt5YR9/FxHIflUi4mI6K9J4Z5kKB0Jrml9usXHSgNPXzQt98qQQGb6b6c9bhseRo
ZXhkMsBz4uI625V6NN1kfJ2WyjtmS+yZGBu09TEt4L+ownGHXTIwkedxFS5STppxHRFl0dT72R7c
384kl31hxvqVBCBcwpU2VcylgU0aCDn82qE7Oq6vqzmJ7uSSzsteDmnt3S+uPY6+huv3opmt92Fb
i/WQGmxVMlM1M8EsHofCU8Q9wZeGUakr1uNhho7iUdunNCm+O8zfaZ1jrKo5Mw0G0OYn6o6bB7Gx
um+9Gsw/XQ3Knsi5+sq0FZ951YAeifkmsd8uAMEu7ieonwEb1IAdcGFtazDOhnrUmtI56o0jjN1o
ljYDITsJ8zxtfbJaYwBR8h79YY09NAUCsALcdbCTToRvsllpUEVs2I8y14rsM9H7+GyP2RTYVbLu
Z2Q6jzMOKjOpJwSgnF96l8bMMn1XN/pdn8TTCZgtJqPLnvpN6ajF2eipcq5jo7W/RgihH8IJko+k
W541nYuVwIlYKlyobbVVcy1BVtj4QOnhEE7Wcha1VF7M+w6y7O3vRktqwVa13CACKE0PulysndFG
7gNCGYkFmdKfc9usPy0dPPNqps34x3adcqI2yIzizu6TNg+TdNLsrWWsGbYTxscboKBK34MIz9+x
EXs/EJ1qfCVXoFQ7u9Krn8YyRfswRYbj3BaCMCOXBa7js/J0PsaYcKfFl6xR+THjfGwob0gPOEQi
B7oAyoW+zPUKOQdIbHyCeF1JIyFd7QkVqDIP1WwX6yPBNY84trLqaLXNCCzpTcvD4pjsMDLX5KLj
m9kra+lEkMxtv6OtXoOeHeR14BAHWAVGE/GaUIgT97e2yaFwY/dYppraR95k3gkJOoqzbaoYTM5D
QBpEvvFuEB8NuR39MCiYX6zSSTaDMxmhQwQNVXTlvmpaGS1ENwoXgAcyuvxaSoKwdhy03vOiUvkz
kI5V+7FsyzviSprXYSaMLTUJLjya2ZKfO6Ny8oBMR/3NEOQA2NRq16634p2XjzEZ00VrFzursCVu
rRv1NC913bBzpZa/uCDzkCvLzQLNhZfuo+7LaJsogZnJc7xuWDQwgjfNm87EVCPwN3GIvmIMMgWa
WsrXJh7iZ8zULpMGm6QjQb34NDX5bLk8yY3xvhL+EQCg5NOvXhYgnJrkNI7IU6Em/9Ln1Q7gzZ/S
zNAPmmFy8vezZXrHxnQ9mzGuPq7nTGe4zXSdsLSrqkaT0NVJc1Jfk4Op9kbNVBoOWxUOZ54zsqJC
L914q5rhBh03iHDD6vbPhDWVVsDiT+NJpSTEhIbkKk/wcT62C2N3nv11v44rmZuZyzUfluswIKMr
GeDGrU/sjzO3hkZVoHL5W4L1d3jSmdwnrZtahy5FxXzDtEiOi2fUERFQNQFEjNwF0U+Mq+7lhJJQ
kBgwD/CCDbLsERGy2pjCxl/fEXU0TDcMs1vJWkxyp/V8M7GsazN7/ePEVstdbBggMHy2h7Kc2wyv
dJmRsKF5mh0SR6nURtiJmSGqaNpH0pOTeUxhBjx/MAvnZTJHW4RlKnUSAtux+iVy12FWzUV7xZJO
c1Y5t3DnzvPmJ7XMUQ6s66V8hdb6wcRh+jT4LewwnRKhk8VXgApIht47abbzJ2wMgz2lZ/JOJaZ4
psDlhE1JQ97iiUyOEYz87yJqlq29OPmh1aNV7UevkheaBjci/pAlIGlVm2Gu086EFBmrA0zpDW2w
ZvP8yQgf7sDA/WjwLUabIofLD4hbXnuQbDNLN7zMaJx4DMZvXl/73BGTg91KF9zuoyzBVkAd6nBM
8u0EMQT/B4Z8ZwiKoU3UCKUfOy8hH5yOWGBLVlpKV0V7Ywc0uSsL1DPj0+q5wIK1H+hfgdIkzN6Q
kxEXMUpeXtqo0+VeQwdKt4oswJ+xaa3DSD7IRzGXbtglVrvPao751TBb4rQXm7OGWMhNW5L5UZDc
AmgKP8JUbx7I4CkMu/uUWgOJ6ozWztbb5LVVbu6G5HEl2TZCGX9Y277qjk1lRCLsvMiOiBAu7Y1b
zDeBfopTCkojpq4hT2O+c2vcQ0HcK+9Heab7ZHbxC2k3Lehgans+C4IKHt3V2ZqOEjvgR/e4dOSE
Yi8rD4R41ffO2Iiwbm2bdNfFyvMNy4C7x5bYcd8kMpiUuVJ1v1Jmwf3WM7y+3Ts9cTG07P1P3a/j
3dwyqePvJpzMt6o45pKeF/HFgESEOd/DH4Jz1kfkSij0XNlnOST2Q1rHRJck0XQh8O0ESIXwmBMU
wwiEtaWZtH91AwVPhnDvK6OcTgCxT8poxK5Lcyre0Tbf1jX54XGb+YwZMQ62+smJxzt0kQmzpFw+
75QKedbt63+wdybLkSNZlv2V/gF4Y1QAWwNsopFG40znBkKnk5hHxaT4+j5gRmZHRHdVVktvSyQX
KRJOp5NmBtX37r3n2qXWXJWO5B801s0FJAAHKJDfN+4UlJXz8BMPdv6OkuPguY8cLvqVFVLVVG0N
u3aOOQbkBwrC9T14bxJnPk6gWlp7I63c30OhGYcIyxEE4vywVB7LWjHkWUhZSrXLys566AxDndzF
01fARHWCuDW9D10ThXaUlyVUPKXPpB1qtFQektPHMoiB6FdutIGMHO+qz0kNbEBGZwW2c619d3LS
FNtFEPZXAxI1gVhjmwvL3WdZMx2aSDHujw0+Jc9SZ+HYTrdxpgLCKmExf+NN/fKpMkkOOucGSWSm
9B6VI8S1MlF2hKxsZuLCC6Ym10OTm/wn5vlu361VIRwmry0kA2Oz1M5wIwUP0Z54chY0RKeifVn7
bKQNtW8LrE8VSNGNYa0mglw0/RPX3ZYFhZJNMH/PHHMTh6108i/PSvyj09XL/aSy5SdeMHFf1SDk
AelkMkDPV7gKyU7j9+FxyeZm79QwK8y42YMeEbcDJG9+oBl+relAA9ib0H931lBHQUyE/HosmE8H
125fp04/QWvFu6k7rnOPuNQf2rKb8UnZLI70pPQCVJLXFhHyNUJmDYuh686TBTXUrpS5a9ay3ULS
/1bZAB4G5VyS1hFbKCnpVYMVGnL2cLBm90y78ETOybVPyjENLlL+EpqORRwAvyEz8phedzLWtiOH
8U74Otc7gUuSB1W25SPjvVRaS2lF3JH7rSyyBKYRPypKbcd9qo/zI7K1xGmLmXTTgtu79WLXE5s4
E7DCC1IxPHEVSYeq2Kl+NX7CLjEx22ZNv2WbdlRRIn9qmac/OqLtNWaVRT4tI/QbM86tl5aCy71b
5gQdqDg4NILXv6viHk8FrsCrdp64hkzJFI6O43DPWXL3F+Llu9D4QeYaTV70S/lJhiva83yo79tl
mrgORdq5ANW2taPppc84WAe8D2FcJE29R3wdg6yY0foL99w4kHA2PeMARsaE8WYTTU56onarOrpQ
Rz713rrA9JoCOWsLF7JIXYStxHbGMRoYEhDOujgBrY0cgK/kKOaF3ZSqF/EszNL56QCQ1WXCSRIP
6clt+2avmDe2wHOr9IwXQv1aUB2e8nzWv6Zu0JgHfOcyAOIiqLT050ZT+XSTjE3CnVpLDuVSfLSO
YcqtZsn5wNVbfSVeVl5y6ZiHdhzbbaeXxCF1DN/2oKrd6AFR2CjaurlJIWuaXIddDbZMli4TZsBp
uNOtEj3BweXwzzqw/5YV/o2sgAF4bQ35n/80fP0fUdDTe1cRD83/Iir88VV/uNG8H45j4lrwBYZO
z/yTqGD/gGLtkOpEWHCAG5AU/SMPang/bIcaTp2EhfFtSPvfooLxw3FNw/f5Lzb/hxLff/7r/gt5
0LUV7S+KguN5LqhgCzucgN60/vc/BbKFdLTG7cHlEAMEHKVu4Q5+GR7vN24nWtTfjXX+1dr9v+ur
8tw16v2X7ww0n74lNG9w4Pwsf7PB4aKxFrEUw1ZEfvdJTYa+AXZk0/TgjCxPTH1hZZuit9BFmrKG
mGWDMFlwRzinhmy+bMdXMyaWYRacgp73WnuqPmWmjXuiTVHswzhmZ43BQHkXfE1wgQd9THaWE5lB
0pEcW8ToXmlxz9Ic+vNCxwnXzULFtMeJ7naKAa1jaf3I9LgKh5yaKmx9Qa8l4FDb6l6VJUUksb4V
mqmfOMFwjXHNube4TIybmTOUzgPNAHhm5GdXwmjYDHM2nYFKPsa+x/eL1Cz3GEHKO+XUW+wS12jH
8iZv+FXM/mIsXDF0yk3SPOWLJ3bnQcnW4sMSmv3Uu5JiE07Y+DZ1/e7aqeC5GVxMME+nwAYbU8GI
BocLQTqLn9PJ8O8FjHJc4jzHQJrsjckc7sCj2mEEQusVp66FKaiztTUgBH3QWu2JhCL6r2g2fTpW
ar8DH5f1/u++mUge0jWgcej4+hMaMLGbmP4HEUaNldxLqKsFuXSVg5UxY3YlWCwmIH5ecjItnaua
o0EAApYYWJojznNa2rdA3dJky37dubQa2hCrRf06lQzXQzNXlzkmZwJXaw3zLK3bX+FpYdJpmqja
1/YwX4+Z1+8IxFYB4rG/Q5VaTtU8Nk9t5bnAARuJ8cy1nPrZRPeApcwEzCABhYeWYAaTSww3D9s+
+DEobmro8QVVbRnYsvH7zUjFB1EenRGkTvTlGe83BwwWh7jvWXuwT9g0hadu+XMsvHBjGp+O5jqo
Q+RWt5gl/AsLY2kEOgEgJxg6AfyYyAIZ0pG1hlfV2biPRx3dhJyUtbcTd27COm6cZ0eN7rJdMiWi
EFMOt/2597y1noCLfu026hgR4lvZ0g4ZlSHp39rK5I2Ut/prrNfJZ9S7zQe/mfReEoC8pbiYa02r
2HpuU67ar7Bd2EGlQxoD4sOtATbKGC/CHPgui5kYB7Q6vw+4UthvU2PLK7FkqxPKHgssM2OGAQtX
qNoC/zB3mSzUg1kv1n1leMgPE5usJcyIqZSb1TL+0ZZcX7D4Tc3dGBn+m/Qw+Xcpv72t7XX1jV9g
AcJsGovnkTvixh0GY4ZFlGK0r3v5xDoXe5NZdeK9TTPky4ZkX2gYHS4jwV5Ox9faGp+aTI0HmOPl
8+hk0Z2YLfcVAB4b6IQUtRaaE0NrDBcZfJ8x5sANK6d8qEVrb6UaBCvPNm5KnN0il6G0htLaYR0h
1yE6bvOhmF1zEydAm7cJUai9kYwMrkm8GHQAePoBFNI47olrdPfdNLbs3mO9OC1cEbBzcKUa8ROV
MSukYtJuVaOgSxq5lz+jtEDF0PWaDbuoXIZ2HXRaKMjoHLAqYPgwtMwF6T2aVAwRCWSjTgcGn/jM
yy4a5RIXs3cdAJ9YkFEHKmO6S7GoPfOSOpu6EYA3hNcQprVJ8uKdT0IbwOkWYkF5V7DYZy8uhdg0
Ym5fLckznYeZrn5Oui3eeJjzinrUBmDRcA3WK7hfNBTbkdaqTTw3jN8aY+hCCmjqrQDkOha3pv/O
alcUU2Q+3HtibFUw0r1RY1haxjN42Om50DuIcotNqgevIguVA1K9+TPt5UguYuDqyFpRo4yM1RnG
YgIrFw1N5cnDo4qyGLFb3rJgtF+ncml+t/HCYrJMBh7pqe5zUerpCFiCpkgWh2V2p+KjEWkmARnL
ys9kb/TkUuvxlGxt4VtX9Uj31F4WFglhBU9vnfoNPl1dzdIfz2umvU8ooFGgYqxxXNSraCcryS18
kq69sy2azUJiH1RC0SCAs4g3Tod8CPmQdGTNMpjEiu4TYKjhXFH2I/kjeAlwV3XewHWfEI5HT8qV
n4202pD2xVvZdW/uqBlYxjr3eci68mosx/y0ZADfOOdWW0uiOEHzalAv1Kjx0KPlYzrbPVzlbYn2
8wTZlFgJYP623ViO7f6uKyEe5pU2lmJyKFGf9bzhI+d2X2oYUTXZ/iZBSmJ2O+r+dPaIxuz4QUn5
xnX5UtVxdxXnXp0GmcuxE4siRu2vFrLKbFo1d5Ak0Ui9YsfU3hf4zMOURJvB1VGN1vzVLyg5xdkG
Dz1tYewhtOSkofAiNY6rH6JYYZ7LBy9612PlYqkTPUniWqgC36kYyVvRPcELvcLeA2+ePbj+Bj/b
HCXqdbXvPvL4bWDomdj6oGX9rDmfrwUeXwpyaDX6CUjYh+woF4SDWEcfD0iAgu0zoWTCslCrr5tJ
pXubBqe/2K42ct+PzIvuSueTnawWeFG6PDl8kD58oUV20Osi3c11sTftFGudV/dsjjoSOr+XdKSi
yGml6wD8A2a7vmjmXWq3mMmwQR3RwPLimuu/+9OB2PrFXpByYiNpEaRYiQL7H7KEahxWprNpH5fZ
HluSdZH3qlDq3zld0jthGMnMY4vuKbYeA00WYd03Gqu6VubuLVU7CMr2uNgzwG5I7QGaix1KAATh
jEePDwH5ullq2XsLP+tcj/XLWHZJWHX4opLMoCWgZPG542KAnjb0mjueVGKLB7FYa1c8+yFKDCJo
Fk1CI0pY8pswvpX3AdwdcXPT+2jN3jpVCW5bhBIjJh0NGOPQQqa9HmwDJiIafr6q+ez6/eLg6rzN
tj4WtXZjYOBNGInc/ovVQNZu2sElM2WnjncPYjGOdqt5eq03iSMZJuzU+HRayLqbiVIM3jTkJo2t
7mVIJchGWn0aRpvaib7lHYW/suIihJkzsHWOvQ5vCcSFxeO45IA3vroc7APP6SJ+TTvIJ4E22PMt
5VuYIHQK6rZJquJy4yaYeK5xOKirtMXTG6Ud3MrUYce/yTtPDwj/929WO8o1L4BSG2uiFoElVfZO
XQtPgX94ZAyyrg+V19j2IR5hp3NQLdPTlIOqAwW4WjdUZLGr4S2ApSNnioxvyHpa9/q36aOYwNZu
UhrcOuLLVXvshen+LiPi6LNNgszHvo985wfW6hxxRjt5mWC+bBxt4cbWRQmL8VLWG5zjHdZI4AuB
X0Wofj12FLX6UsgRV0Tog8kGMpn54Hrj3it3dooXGsMPIbcFxzHrG/MWFAP+T4HLpbRGHb+LCktM
zIcY5T4jB40dJms0bTuVlbeDdVdsXT+yOXLH6MK6jd2WO3hALrryg/I544V3ovU1pTIja0z4eNPV
rn9xWcGQ/Z+BmmIhdu8XQ6X1Fm568qApg9TlMPH740PxDGSexxUc3qXaezJTL5HtyUf5bfBJF2dW
IR5JaWwozBi+gHUPH3Yyov6ho2JUqK1IlwGWW+/L8iTrvkVLMAk1quaIlaZ9M0lG8dQEY40Eybtw
g8uySkJjUNNXqkGraZYWvWrhobJpqqgZEApWxxLm8oRLJRYV8zAgIUFMzWd1RR5Fculd/U4svlhJ
5QlGQ8dWVsIxVrXFGU7aUIZIsqPOgqzotrEh0geUHO2+xuO+XVwy9kvJgjHQ287dTqY3BbWfWdrK
JZ90XItCu8qLiPqOWUHO4k0s/Mc6GhcL8DiZug0HZdGGcYfqiAOgRXeNF4G7g/QzNyTNVvxqXbt+
Mnr2lQ3OK7Ed8kY/0SGTjFvKzXwZxI4sXqhZwIQMtTb5xBCBvYwyTm5FlVZyRTSwKvX0tpj1sz5Y
xeMkde+3Wcb1gQqnuTkOIFpfKyZjuhasLnvP7DrWd4yxzi3kCwCXlkasGHjDanqLV/+bDyQLsZZo
gAUtO2J759kGURO7rtu7zpsARfQlb0P8/wsX7AHIeiDtTr+QsmmNE/b7nnYuQjuP7qr+0Gj0WS3F
7K5rxARR1XCJA4+llsUHR8S4NTqQ3zVgG9z/PemRqxSG+1XUgW3isezkxz5zugvMg4aUZw6Vn9Ur
Y944N9k+xWp4nLzYaQKtzn4LV+rdhr081GS/c+5EVp3wOtBr1dZHaCDLeU7yp9XlG/YMX1vw5PsK
IuQ+rbU+ZA1o4uUXt5IPwG2qRd4W+QGBs7Ahm7hcPzosbgTl3T7fDrQxA2FIszAZCjo4x0nf5UgW
e1gF1d1kU1tVqq4Oe4Nbo1XCM434NsourmsUeVZhzCKuWuVl8j5kch1JzLc4kCIxaAOctrHMp0sl
Ov1ZB1+OC1rPCHd08qWKRlyLKSL5iMlyC2Jb7RxkCzfR5ok96CBQkmf/GLmRTYK8MWNMf9gwCH61
mAKMfCLmmXrLVu+oCkw83AvL2E12UEd+FBB0qj496e5bWMdfjUrySzyOONfHaq3TGL0rNzFJz7Ui
/u1xgAYuvyBCX8BCe9IB7aahF9jZ8jfm2mVhe+4GMwhTbryJbB5LqOwEbSLU0Im0yqNVJtqpiOBw
jMA+D65IxqcGluhbNIB7CExdaV/j4FbyzcoZg1bbAcjdKvL0ZQ8sYWKbbptz2KcoTSADm+I38fXu
Whm4TzZj4nOAZbOhcxtoWCjuaI1gZU6h1B1hRy/bGV4LMMSZsFOQhMWbPKQGm23H4KYQ5uuZ2Xj4
tzes2nlQeeyq85A7krxqvh87Pf+0n72wkdPnIUVbmlmXRjz+zcU5OCVjAq0tFp22Zi3tnAKlwSLP
UBnirafu5rNxUOnAHvu5Cj3p+Ud/9Gf/ULaTjKGTJFyiSQGITw9MT5iyyTnJSU5nnCDoflSocDEF
qSM+utJmUw1EJ71jLVAf+sGy7u1eH0vKSXUeiZEnphCSRYx3spGUlaJM4ltIyTc0bIUxQOE3NfVr
5JPmQJ0bt6feI4K3g7zZf+D59/r9f9uu/0ukPBKzoOr+4/3o43uZFv/j/P57+HNc1/rHl/3LdW3R
0+p6Jh4437MtQJx/uK7FDxK3pi+EpbMe/c7k/nNBav0AIcOCVLdI7JqUOf5rQer90HFI8VW2TQKY
4K74/1mQYpY2PZBCgL9wdukm7u4/L0g7bAkDgXHQu3FzMSIOYOASb6XNrqxDh9b6/MqW83Kg5zb5
h5efXPb/ndX39w0pP5TPQsmzfcfQbXbBf/3WeSRNMqEaIkwk4QstTXWNeFmc/vR6XP6xcf0zERAf
+t82savVXTi+yW8e7yC/zr9+n1kz9GxykTOMQlsOUS/W+kf6WbpZzhvoCLjLi8xkEzcm+6HR0+u+
NvSPikYsHtZzgjW2tyW2booXzyNVOBsOfOdUdcu86ZzUumo7v4IHKP0bi2LaELFprA8Ro5ZCEsWI
2jXu3ejrTk5hlpcGrRCPVsLDi6wKfyE1PcAH5sm4tWsDWXcQ8oZICQCDNO/xj/fLbnUo9RjBpXV2
cd89GnrLxbqhkeuOOd+8hj6kPbpMPIHgdLid6IQkLmrZNzHgkH2qaeqJyLO95RpSbAweR5ukEJQb
Kt05+fno71cF+biwnbaCudOgu5gcTvnBBop07TqtACCupcN01JBgrVMbIcftbVDT+zhll9PhoWDc
T5T35jEXWUFuNua95XOBhiWygtfYRK5BN3VQYyav+7jTDhRfJeUddroRD4XSf1a2lCyzWZuqQF8q
vtQ3p+l1iiGCsHKZygdKZ16AvTtbCOTrANGfvMo++Wi3Bxaw8jB2HnJUq72JQfdvdAYXgWQ5s+ok
QEZcMM/QtgQRtv6wlPN8HpoWNGSX56eR1PW+SES+NzFB0TjVevV1ZYLCS4q5PFhjMj3GrE73PrCw
kFln2Unpadtl4OWWRq6/c7lkUV41ION8t5z3uebflvhtr/2cnWOOb+bG0vJ9bbqUuTno+BsXGs/B
gOPI3OfReTH3g3Gt0ilpuHaXLvDuKWp2jVbw8pPjxKLa2Ed0TfbUmonrFv9aSJRevnAj817Ifus3
dHfwnoZGRh7Uos6L93kfp0XQotLcWKrzH0dMkIRnhz5ELZX4dGYZOqXfsDFqkah5BeWjay5cLx3k
5QcP3cBA1iQ6UlMQp8kkxK1NBaSU6fSWeYNl7BpqCLlcD3pFW6PEe7BNjAn0GwlsFnHWZNrjrkzT
5exVrvWrsqOeMbZixHUp3V3jmOphIgj8ucRm9+BO0n/qe2m2G4oftbcsNedrtv32o5Wzsg3nem7d
s02qDgf0PNZdGI1ONO0MTWv3hF4yYg8YHePNnLdxfezzePrVqDnlugLO6jrrjM548zxJutClAo3n
EnARfxHZLzl3xWUqM1hp8VA8ytR0DlXdHiF5OQfUx6+F3mWa4OcJM41lfcWspX+ns8wOKnbSGxId
yRHXCmvaqIGeHrfWeAawiMnKSRs+1LPRP4nJ9D+yyIqOK85wzWBpUBCnCe+KLJ1DrrdZG6L9yJsF
V8xWWVX3YtFtvC2GyThTce68R8tY7QaKor9M9iDbiVzBfcUl7wFQjfFOJ4C4GMMy7KMk4lc4e/KJ
liMYgiNKA9H78pUu3faZS471RE2DfUzktCoMCinAyVff5jDk076BV05dQlWgwHDnMLqPAv9JfCIV
HsP3zArPfjLrtGapyle+dku0jzKVAKCyhHuwlT4sWwOL7HIwJ1o6Nj1t9lvSFxAcE8ZG31lopciG
DsRoTDwHSMKsAA7BlgRclI3pO+80sIkVOy4eSK4Pr19LeRpjEGJ0odA6ynZuA5M+tFhbo3e3rn/d
N6q8WizywLvWhsCE09/0jlHrGW9wT/0LQ/F4bHXCtNLCARpmGi4SKimnlLR/NPKxGZkg3hNWby4D
qk/pk3Im1pCUkR5ZKaSUMGMJvjPYfMrAwFK/jQjGvFd0BZwBJ0rzCsuEvx019ZO1WWWGCiTinrpI
7aEarOYTH+14hAadbEkjstLRh4GieDWqvsWTXVavvPkZZMuFS2/AqOdb+zzqWYoMTqvYbuH3mYIS
cV6ylWrp1bGnxvg5NyNTX5/kxq5MVqybGNr+p1ZNNLa5OCJfuNbqr22KkVdvF/MjHXp4FPYCV6Jf
uh2GTnk7zcL/La2lPutY87K95fQ6oSmxYEovlqjeq3hmSc0fS08tW7E6iBvXekTfEwAHbD70m5qe
ioMiNomjKV9ocC+TZWKaMTI25nGeleCjZN40PDNtnheAjtJiX+dYQ7F2OQOJJGFRC+p9q1WlqFGu
GFlk6K1yFkdPhGOZ3q0hqFfBK1+lr3wVwXjJ2M6swpidF/N1u4placxEvNFXCY2EAguuIrG0Hm2x
rC5tJAesPnwcmlWCI57kXEg0J8nWL12LsuJRnI1VtovJfl0zEE48TZfkVPrthNgxkKbCW5JVgSds
nLz+KgZqxqoL0kKIRmgzVq4fdFwkSw90LdZ973dGW0iMK5RY/AYgrvzqcMfeLt8qpN7P2k5+a5P+
KlOW9miHnl73dwR791Yv5kuyapvYzONnY9U761X5jIj2IIkkJvaJVRmFCN5dyyROqMhYhVNz1VCL
VU0dV101+ZZYTXbMGJFWwzSAFEvfWLbT3XhLQkdhtcWHw4E8tNgf9Rr51jWTRygk03lkx+UiG7b5
2fxWfLGCnO1vGRg6eHo/E0wjQt7rpyTCkLXqxmNd3A+rkqzV8BC4k+1oPq1CrskfWDmdcEKAxoKv
b8pVk7azhu/HF4rdSPfrFVA41OtcmAEV88nObiyKZT0wmhfyOEjeQpKRCPNvKbwWTX3Cruu9cspN
7K94U3EP4iL0Va5aOiYrZHVvVdiFmSG2o7MhvE8j/yDYSCVygpmzLkjl0H2yI2B0ovOp/xi+B6ry
e7ga1znLXScuYIEMXy3beAax76GsGJ1Kbnw2wNOxSkWzpjEWbmt5OVQPtq1aQjn9MgQslUjiu7HD
edgM6fDSO9J8mVqdPWDs4UVfrypi0wPwLYkb0yO3zVpdfCxN7t7ZWBGfDewElCOOaX4VexawvN7k
9rXtpF4/AZWT89aAn9vzK/X9Syub5ZzrHUSdygWDTVsOepOZUWdH7n6WOSriDEkdhcoTbJ2iObXZ
3RK54MXjAd4EqwiZbvD6d59+ThHxDiMxkW76xNUDWho7XOYC0w4qlenOQZ/r7nrQ/ERCtKzr6yQr
m6+e5RePeMqzxvV1gVQQSfz0gSFsHmLpODnyumunYrqtSlvAu421AT29HMcFxqym8IgyDldhFhu8
6g0BF7oxYbgWJIOa3tk59Mc8jF1ElI+IDVaFbDTN8coXLW01LE64dMC0uhpGKAErM2TmBiwinZ2n
nV9B82Ff5zN7PTbLZL7QCyNe+FBn45Vhd9apRGZYaYpZziM9d59UE43ViUKqpGWrMbXINrPvWKGX
+h1XVoyOJzI62rsHm28mg0QDHzA2rlGsIqs1fM7kMO4QT1BReU387ooa3+ilKMbsGYI9HjjYMsI7
Ov0UH4u6G3ZJ12qfupFFV/kKlNzonCpHNU88imvQmK/WxBKfKUHrX3i1mxuW53gjl9Lqj3hPGEFk
YZ4WG/nBd6L+uqwziBrUrxFO5UffKv4RA73h9nxuRqcgPZ4gKaBhog6HWN2dx143W1IV//k89rc6
EVCmjH26IdAdmYcN2/5bAwNJHtJXKaVCkaEXR2BFvyBOPhD1f7X88sF0Kg5WN/FDLplvklzr3X/+
/b8n2j8bc9bvvzqVcCUxd0LS+us4qOSC9XSxh+3ILj8cRmyGgbvigQ52siAB5GMDD9H0MTvDgtJM
hHQW0xsDhsqrQWvPUQGPvRZQUu9zrCk36w+Dl0M3z9rUqFfT5AqfYtqtgoETq7/ghq+j3fcP8d9+
tX/jV6M5YK29+I/3MZehyt5//XkX88eX/GFWEz9I6tkWBhPsWbwoZOr/2MVYPzzqtX2PgxvTFYfF
v8xqlvmDbLzr+q7nUGpg/qm7wP/h2Kxw+ELHFULQj/H/4lXz1o6ZP781WewIx7TQ/W2H/9l/q2yJ
4zgXKVr7fhhGeeiMfHhfzxT0fCu6WIUmTxwYKiyInJyqkXSKU1bxsZu97ASPGMAOTrRnr1LOb7+j
L65Fzt3RuGDzFs7mk5ZXyXYBnM/awolIJKUIVvPyLgb7UoNuRUVUGzGXJwgt2BB8D/MAJTibzk/P
lpJdMC7ps1nbvyObZi3I/Ve5pAbILAtj9UPk866Fkhoo00u3aeYaTwW9vR5dV0lxZS12ddPkarmt
DLf8GGgxY1khxC+VmsmB7zfdNr7SdqatxeykhR0/mzoPOojTTWCrISXVG+VvtAUUtCbzXSNWB9Dy
06L5PeoWca+2jl9sisyOWlVboStocG6r8q4BK/qeq6S/ygxVHqfOm28HzfP2dQKVikm2RkYGJTRc
mPXng5aL6lTH04D/TTpcJCp2DQloqCfkNcxgM0GSzIrPMkHXMKOx3mulezFBhz/BVYs/2yLtXlMx
2XeljrJfQ8gjcdOue5W62ZYiSh9GcKsAW9Rz5o7tJSGx+cCy3Dni0R5OfRmlYE286pnSOx17s068
SUL05a0R4H+mLRsr9BlsGOmsNqVuY1NP7vjAuVWe3QYrlE1lLO7eAe+caF8FjjmwZ6r54Db/pTLl
UZjszy8J/pM8ca6Gwcy3aWMYdyPBiG2Kbnyh3tZ/tbkVXCMO2icL9/5xoH3pt02XHT2UeETglyTO
WVWWdiaTzXJHZ8n30ThDu8flTv5gZsWBoWO6KnU7gsZUtQdUmTLoDc8g6qmZN61yP6PuZJivVsZ3
1nGEPkiNfonCoTkb2qXrkPUbmBhiRSkw6YUKmpVRlhdItfnZTxa59ymbfGJfYdyC6OHOTqHiC1YH
dS4U4N1YH3XM/O0YxhjbAxwaUzhQM9Ex2pj+TYlOWm+SupEHPYmslbtF/kITXyCcgGqxF9y2Zuvv
RN/OQUL4+9jzYWaqd59IILahn1N2m6aut4NJ6z76ucbNrigxficaODGJaBs4OCY2UR4b26yDW9bS
VbFbKk2jS3MgnK5Iq4uhhqi/sKOISb3eMPvAP0f03xeZXh5LAG8ko/alVeFa8TjlI3ZsoZN5gdPT
MIRiuF8QjOgK33QZdp1RMQ+ZNchytWeQSU+xM5NcG/T8rmF+Y6MEmTQHhGYTbNoRvxH0tdElzBbH
+5lTbjViE6nGOyNtp3s2Wj9tUf6irXbrLPJaVu5Hhkp8WaBHHRqwpztKiSIePuvfWNIgEdDdU1CS
fs/8ee/h18T/1fVhy/D7EPspHcUThQVAZ1sYvOVvprszqiS08h7GrTEI1FzRDC9JPVHqyA2OLJHQ
b906YxWqKoN6EyLYxE7s7dA37mfv5dEOa4F10w0WHybdNbZ0ovkPlmvyW51JVtnKnwOJ45xdak2s
bimqrWcoyheypZlfYiqWYbVnybbIaUQkwVNfzUw1gQu3aj/WmTrmtYMMxV5GML7Hyx5o4XLx4sXZ
xS4NLBEN0QSv1Ix0zKutcocC+4UJ1NBWiJbf4qOPXLCDarD35gCZZYPpF6I5vhf+dK3AKxA/K5kE
r6AhRC+qIqqJL7m5ZgsxXjGTV1dVMXkHuBDVr8mpepJAJoxLP9fv+ZBjuk8T2F7F1AoSB/j+nkRa
uyaVjkWzzat5GDeQ770zGQsEyCT1rF02ZujgEaLg7JdP1tTCiVbpXivwI/KLOBR27YYcGM7rWGl3
wypjERiLIuC6Y1pBflK4exYm4dcuXnnChZcFmep7ajUyBCx6jAEMmESJLDYjG+kPfP575QBSJN3c
V45+kdAic30oIE/7AZnRkUupez1kOPvw7OHUtexTtiB+2b73ULEUOTk1Zzf+f4i6iSbSsBym37ln
5YcJ+HbIDucmqdK7zKKxLc8AfnCZ64JUQslkoFyowIgaVhs8wR2S1sEcEUAZ2LZ8+nF/l4zuU0Y2
h7Q4fwF7AW5yTcZjYxNHJZikUeB8kguuEh2ypywA+tJrytCK3+gNTINzr4tiPPG3B4U3wpSMf/Y5
T/0ifUQaOqPvb0Eusr+h3XYrew2IOR5NorkSMiNQsysIF/aR2pc2iPjJX9jKWj+llU1h2tJewClx
ABvWPMSFBsSuHchnGeMII66kUfoVgTE+tUL1t26pmlOtuf1n6dsadZPzegyCsy/ystpJR/ggD6V/
L0WKHWjGna4Pr4OJ6SsrT8ME+Mwo45u6gz0c80nBuFQB+fPbtIarkPFQRZ0l992uUqe8tuAVlDMO
TTMBUcXqf18X2Z6kl77p24yQL1UXrESX/thhuMC91uCJxibDn/o0pKKbjrwnv8VCsvy14qm9bsjZ
00bylboqIieaUyQSOeaJZhKv2o9T2gtSZ1P/vnAMfcLT8kiY6cXFgLiydngT3QldZgbqbwjI5tBu
QWyrvDTBWaftnRoBcKmGpQe89SR0wJw5uFgUjb6DoEC6iea9bJnnJxM3t25WRris0cRh6rIAkVo8
aHkyE5VWS7kXMS7X0ErkY4NJZJatd+tpzsCW2NOeYYpgxvxf1J3JjuNIFmV/pX+ABdKMxmGrWXKX
z2NsCA8Pd86DGWd+fR9VNbqzIhOZaKA3vUsgMkISB7Nn7917bk2JEtvNV9FM01NT4mq2Wh9Un1uw
e0tZhveBW79M/nBHOjkt7Sq56VKzgzbQrIB+vjEbfzbgsRlC5/LeUSFo8bCad2x74blCO5duZ7vw
3zJUJ6uasiJW+SfRIHtZx4elTa+IAj6A9uw3Ixb1eLO4JcDHC1xtG+NlLZg+1ADydwyUDvjY7oBY
POR28smG9jKa4VdL4gv+JnXTxLHexY5Lwk3W8OzOi8O+SxUWJcBtPH+Tect8Bhdtr6O2dDdydvVN
pBJyiKM4Ac5B9laYuP1NbLt0lhqNs9Jqs4Z0WFs+sfwG1/NCjhSyBcvdUsJX0BGpOt2EvneeXlkI
9mCTj/Kgl9a+p4qbHznOLjv6berOIXFZldkvN6aALSe3R/OGgkwX/dnLWnitCTSTVikMoa1oNxfl
wCkS6QXG40wHaQ1kVhrrA/15c5h1UVyDkGWLjjRQbr82CAu9aVMvibpuxwjHg+XqU0A/6NDUIwaw
KCOmYdLvfTb5L0PE+icGHMOrfL6EcXdd8GB00NyGkQOhKas/goKcJxWaZjuy+6AQ9I4a++W61d2b
9swHXBW1SQXsxblkrNHl2SlCGvyq0Nm8VeVobVOgM8+Vazal15BNoeYUrAOX7muyohLst+PdIyaK
1xBrbQXHw6Bo1zk5qpoECriQB9g+Hhe1jK+j2ML/GrBJQWjZyK7qXxti2ElZDsw7PX4Hjij+ghWZ
RRYLjyQ2m8SLHYG3hmcnxdc9l5eA19DaeT6kkAWxz74Z+ui5mhN9b8cwcnQCIUWaRt54TJmP1GDj
Qy2K6tXEpl1L4EUXPNT8gFfRXoHrL37VpYOiJfWqb0KeI1IbCFwKNBV042fuNcahBfCTVZUfKZ2p
azUsGWG6YyCuUHemj3FMlbeyPJ2+tIgdWWpJrRB9FN8wYLX3sSztG8efL4d/Ilm8pG2P0VI6B9uv
4h8EeDtYyH2xGa2x/IV2Nbyxgka9zI6D762jx+jJvn2HXBA/5AwDmL1M4jQGhO6uMicduPSCRBFO
AmjU4Gu17WVzrZL7NnPJmFAJBRuZ3X0SYaxup/HGlwO8qlFXNy6hEVelrfwt9MsvpjvoYZYm8XZV
MVO6TTLa5YsXvDsTDaq4KuXDuHjtduocfRW3mUf96WFz6pT6wZFV04uNw6+mg1gWcgA8Mt+rb704
TW8GJ0kPCs3TunMrfapRGbBruES8VAxM1iK9y62x2vYMkLc0uJxTajnIIEWY3YjF3CImJ2txUi1s
la4kYgo0DI6c8NhddKFqNPk3P5TEhpBgshyEpFkVXc04oJi/VbR8drhlVoFNU7xBC7ZxDOo4PgUD
OgJiKsYquoqS+GbIGcdpJzwL1EAb1LTDus1V+oqPfd6MC8T6AIkqYBP/3PQob9WS7Sq7JIxDtOPV
5ZDP6Ln60mOzV0EZXtVdOEOoprfUAM9/SRIS9VY+ALINCuQaXzSgOdyduKF648BLq3Mct6J6jing
I85yw0tsKwgd2n5EiRrt3GgH1XLv5Do/oZy4z0Zv48cji8tMSW7bO5hS880cLXrXMetfyXm6zdz2
J48nIOipRCyO85ugMtNumKv4nLk9d28WRzJ9sy+eZMmDSrL3qjNozvoieV8S+yZm/dxCMgdmp4N0
V2tUpUNjiS3nvOiAy5L+qJua+6Ep0o2dtPowMFnaWiorD+wU2ckZmmqlhzK47ZfZ3aMNx1er4vPg
SxvotLHjUzr1OOQLwdKe5MxON+isyDdZQvGKKg95bYCht8BfXdRFvK4ZpqwpfA9JfU0rflz18TBe
lyyFENCsaXhsVVa9I8zl5ZGJE32aqFqsVYQFqFjZiWYQaA/ZfWkc62FyVdmVR+MSIhaAo0OdwY2/
qcu8usm6zPnBDmgwnOLMXuiQQkPOSc9eUoepGRPEt14u0YtweuQOA+cWho9MtVdlNc3HyuTO3kOR
sAcW4z2YaspPMx33o0LXirHNdff9IMynx2QJR0rSp+91HXafUwlIuW0aXkbmQwcuTXgVaYcBM1/y
gE5hXg0egrG0buF7CuO+cZYeX4Y+LR87Pbo3OWrOfeJUNaAa29xK7um9KAVfhnnDSyzGrwYFypaT
UHpK7MG5nR3+q5+icO1KOdA3ULpYtZXl3LLbOluGRNh3owSV4mxdW5lN6x5Uzs6nsGAWoa1VAXMC
8AIARcr0jNcWwqz/6BeTxaBLwDoBinC2S3srzEUxGxP70gxxegAOlZ9CI+kZd/UT3e4PSIRnpnXW
KhvTXznxhEdfmzOJQnKNeQ+YvZxeWw4/QAbwmjjzuQ/nH7WurFNKfuZ/mrf/r/ue/x+lQUjm9H+r
MHv9arv/sfqq4o/ij23N//X3/tPWDO1/2bAzEVH5PkLIP0jMAvUvdGc0O1Xo/Ftk9n/amsL/l5C2
j+yLAERx0QP9b4mZwIPr2o4IfCChgfLd/6u+Jj3V/+pqemEAHQ1XkRJ0URm9/XfD3b+09ApgOjCI
+nyn0cWCg+P8plLK+66a/yHv2rnkIP+xi8rnuY4jUMdxRUgG+C3JOxMc7dDWAdrL2xjETJ59QbnV
94NDlBwNjnFTkhKG14b/C9X5PAQhMDzVvyxIftfjIORzPgBK3vyhEX33ZyGa87sO7fK9BBZQF/Ap
WkAfSd8fpXYhAw2XUXCwH0Xxo6v4Hs5If9RHfEqxdwrDpeb8JM0uSgusKPNZmd4+/f2X4J7+6dpI
RwnbRiCC6O+375AHeE+mrA/2TTpRvudtdKJLUz/9/af8xR0HWhOowJchAsPw8ud/cF37XGR8PFnA
OQRhbQ54z/XTw0izFhkDxIi//7S/+E1shPwa16drzoP0359GQJZjgxsN94T0erspYE+hbyj+4VMu
Y6nfnioCUpBKolnkGRa/PVUigkQyqsjfk/DHz8DuS7xX/zCU6eff/5y/uHiomT3HD/k9tMB/+yDM
KVzRy+Mb0f1dIbvHBQIvJJfVHZ3Sfwj2/ssPw+WN+vTi1Ld/+7CpxyTgty7UZ8nZrWBet0oGAbhn
8QqOD97h73+buNyL36+icAIpXVYE1qnf7lXqBO5i/Jji3mLeDLMpvB79yH4oOFwf6zLJoYlob4ev
QBzIW7wcTcvop1dQEY3VpB+yPDB7WZXDBkVY5CAY1M3ak0GxUWpZ7jrRACoJkirUR5Q7KYeLMiD4
oFnQItQMbdfgepxNDxiIAi3z7k1Zmn8YMP7Vex4SUsEUB7zBn59HIHBi5Ejm7+MqEccMVu1xHpS9
hnf0bIG6aIgZoxaJv+FyNltX5OIJAl7wD5f6r55XcM3CDR3fVvL3WZLJ0HSoqAj3RdG7x8klyRou
9Apxvbf++5v6509Cp8z+IeArQFr4/Z4mzUVFloXB3qevu54upmpGBKQl22L795/kwG340wN0kSmj
mpaoUf3//PkflhZdOtIC5u7v3XAQ25wIxINhxb8Ttjc9eBYPgtDdU4w3bZv1HccGvMr01OhkM7Cv
p/EQtg26Q6Z9yBh75T32RD18qEEHh9FDkrgGbDY/gkx0r7tuqK/IzcMiYjjlgkPkhL8rUGuude9o
okf8/miHM53wxPV2JCDPe0sT0WaMFlupDCl0uidRdqVwrkf7sRN6HZdOdO6R4d1CCIWB3yatRzNm
EoDhg/QW0E72weGkPLpDOG7tIiTDJVR08gbtH3Pd+W8ps7RbFEYpHR63XVtgAy/dBO8U2CI6OxyN
wpxM1yJqykvf0KDBdaBVTn3z5BL79SaggH6QzIeXLcFHv0qI51xX9dhu/WqYLw2m4pDaXfZo2Y2+
DewSjeSE3G6Tm2kxq4m0F5BtQ3Q2QxK9JCEQmKHUwSfm/wk3sC3fcyt7BblIwEyO0vEq6yh5qSlv
/DLZQCU7SNcqD9UAEYkVIBYPjhPQ55X4Ja9sV7a3CwoUjHbaoxlncpL9sKwAMADeDCFtg4SuL1B2
pRApWKXm65CYH5iheV/2m15EjCB7NBj7Qo/DFyUT12SU1XVCo5TGY+/c6I4E2JWSoj/q2m2ZGFXD
C8NY1JelalqPYGA7fKFsmxFdk0P6HBQESfTQNdb0ya01PnwXE6tXbmtto5hI46CJ1nph619xUqSl
k9E+B2JNWO4BPKQh3I77LdqByzcQFviBXhqDB/eWRWjAXOQ2iswdkBZXPqPhd5loBm0BJrjbIdZ0
cIIBsTx2ThsJEYsHACDjzsZDrzOGL2OruuJFkhaBk8XOPrXK+A1+pHjiQ/TWjwWjnhav+NhAUzLR
qWSUW8Be+V5iOaO5xnEWb+xORhkhK022oLEhI1hAiTgtXufVeFnGmVcIuVZCtMxeLBQ41Pqi/OmR
aBLCZQA3ELpGHw0qupWM8/4wRDaxLIsVp6vMjUkoqq0LgBrU1yaoopu8n3CTyRrrylQ5fN9kBFmy
gj/ACANGXBKu0KEv12I0GF4dfQIwbK7iriofZTUSVpjOu6nxkydhk3Wbpk23a/luBzJn4l2ou/AQ
KMZnup7gpACjBcUMRQ8kdtF7O2CVzssgA0LTZ/1F8JPepj1OMINr/EcYhR6Ig1jqo+UYs8KEK1C0
c5hbOYsa9xZDiI0ucq6+HeTnoK8Iu5/m5JhUZHNnLnMR2ablB90N8n+hExwCaaJfuVxUhJdpHO+H
DFdAwS1+jDhwQ3i1iu04Yz6wJnZhSlHAp5yB70XYzodwtMo9UU4Bw8jY2SHbIyYFATj5FfN5Whz3
ilN1tp18YGmmz9zV0JxQJAdXbR1oRI+wpr7aNg7WURY9x/PgXmkDU8XKZ3FlTBd+pCDK6eUqArDj
WGISjAz5FrihD8JWNTOnDiCTYnKnAou+QM5c3WsojksIwldxM7wB6G1PQW3na3Y9yJ993xOouFTn
rlAXu7o7Lpu6Si9Jgoahk28V5OaAAiSklsJbquWmlWT1YEtfHoX223NDgPfPKWXFtQnCXLPNp3ut
8+muHerxmAkremtiGhVg88NncBbLdjKztakgUpxJxHjrIRfu67acLm5eLJneXVSUDzYpskfw4t5x
7MkRjoDTxRzn90UfWLtaeuMXYuoOn0CTc9oPest5g2FMNlXRnkcIYZugyeiojvZMOs/sXBedhJUI
IrTYkUaZb1RRj7vaDRuEzIyRMgfdxmLM8BC1TZXujAvApOgWbMSV9T0xDC5HXz1RJC37ngYp2EBe
Zc+BVut4ajsCmD2DsEW/YK5lVmEYcKxmvbCC03SvPpy6BsbBL5eGJNEYDIN2IbQg/twk6eJumQJC
MOhHeaPHPnqobPrCPrSBK3zIZ7cm2C4MrIXgdw8w/tjrH3gJkSfOCP29ebmj3wAPaKyweHrT6L3B
eUVeWMTzzgcbK1GPxlG6ditrpKyaq+aZumy6F1UqD5hVor1JmQITuRzdpCWRAHQkwseE3/tumGiS
CD8VhqsBqmNiOdcZolRo7/7G13VkIyo3+bD1GNcCKAgX/66g6QE1l8XrdUgIahIWYMi1RkMH3j5D
5s4Yidi4rl2+Z5Givk/hV45+/wGGjJiA2Sz440DEZa6B2U168IaMpQfW/o3N4kP/1db7JcO7IWSY
vwtSXE4ijhj59suCWHDE2VDECbN+upZQpniNR3OF6h0PZ+G+DAJ9Ov3vZ1mMBL2wyd95gHB3LeDy
nJRvp0L36I08uXmLPM939aPw7Ec/pTFXNxnI8Q6sXAeI8DTNrYufsIeUgG6fVb4nMQz3hb0n0U3s
6dB7JGM7CNZRfV6sogWZyqW4w0iZbio7qeiIuu1Wu2obYVjFo8RqMbVh/c2GhKC0GovD4tnDc+yA
lF2nkxq/TEHLnuZmVW5w0TDRXEKbmlExZSJkAe9DjWombb9rIZiMM/94lE6od8ae71JDs2heFHrE
UOIBp0E+vNC0jb/J7DbbhHtzq4PZPvpKRzurCs3Doop415bwg0Pd3yAEiXdFGlYnL8gu7ICszw/T
YE+XOcm8Jvos23alfa8X+o3kJIjLTJfBbgRpAIBwXJ0yxZMQTMLeObLvVpPIll09pfmVi9q6uARO
peN6yjucDSgfP8Ukiitg4nm3qzquSOhlxT6qQufoJjUyicS7yt3+bTZTfcZsckOyVvtLlU2PslyC
laJxi2yJxA6JfSaM2pasd0/tS1sPx1LN+7y2XsAfEwgCGCDe6iqqTjUD5G3STPEm7r3yGdNZdxP6
KJxtNsED7IBThT782W2SYFXB5CeDYTC/dDUu7NwUBXTxoI/UfQxpUbA2XxCZSH2q+B7QTLVu7Qa6
UimsHA0Wel4aGcPdlJjX5iKur63+OiGObl3O47YmGWqzdKCAEBvjjZ4CTLeEyg9hN4CxQtuzNP5Z
LCidRJqm9xT2igF4Fm3wTiMErcC/MV+rXlow0bvGB/uUY5Tz0kM/kl9f9NjQfYwQB1n7MSKLgV2Y
rirRTGrZF+SM9aG/a2vlkzQ4M5NuGis4hfWUbQRMlANm+GGyyg1BmA6KNYIjNVhLSvl8G8TYP7wk
i/bJQEit5PNXplSfnVbRm1/St29QudkjzMMlWw5do5/nrg1W7TCfOqt/CTIx3CX02rm072FnsUcn
1meQ1i9C5mc0do/xwA6Vls4txvevOP8yY0AmZoosB0PRE01i8Me6OTXKv04ViBqBpruA/nJdGOva
8ARdu3aY76NRBp/15Ge7WJS4W2ICV5phLz1dvi7yF624YhcI7aydMSthXDcF9o7Z4ga26VNfpy2r
WMXMN3jxmFB4Wn/kTfRjqtV14hTvrlDdFfNVcBeFYdZRJs+JCLEul09jkL2TE39sOrdYq7a6kV7O
dxdkxnvNAHtmmP+dJ4lqzeqzDY583PtawF0e9W70ioeMt+pI3jowD/vojfPGCrRaWQLwJMAWvC9J
dPAcMdxWYawAOvntV1cUIU0z2LCRVZ7CVF30+ygtyjH6mUufgznH/afuElRwOeTzysJC+0wWp9mV
8IBQVqgdeLXiRM4mRBqw+pdSytNbV2JxSIqg37RTlW0CJzRQDqqzcAlTbKuJWqWhN36ZHO6tmCNC
O6bktSqLGoYfnAkQEhMDP0AIl2C4mvvNubUGbeA/Bl5868qRQEdhfgw469qOOr/yqD7LXDBMjVjz
m5iCXoYPySLPMoteu7m6QbznrqqJ+87I1F5lfmGOSbIQgepWz3aH+9IMEu5v1rxlDuMkx4eMndY/
fct99UgaWy+GPXtuWm6ayV8aIRm4F0P5MtEMXc2Mpw9mjJ0D4RD1Ftw2Dk/dZh/p0JNV7tLr72mI
nHzyx1ezr62NLkdqW9/8qJx+2Luexy/F6Io/a7hVDsNI8jnr7SKL/tvHd3Wb1iQ6Gk9CQYW+tbPC
CS0EtsGKM8su4/xzGquI4sirCbA0d6bjgKGaQL8ljaX2VRL1e1osj7oHHBw1eq2GGLJr2d222uq3
E2vH1oXVfK6JkKHonzg3p47RN4vATGTSKd/ZHofj4OJqyzMwpWSE7URqIMhht1r7ozc9CQsEiV81
1JIGPgMuu/pz4kedfOOT7j5xSxntNAeRWP2e/da+aXRiH2PS7E+lPhD0k2HDrMXZZo4PkqHPzrkM
3JfWqb2XYFJfcDgQdIsKchlc29diKLpD5WTWY9MM5ufIs32H1MQ7z6nE4SGltW+6hFzyckqQkITt
jerbcuvSxkEun8Bn1+TYMNfU/MbWaf1n5ApAc+KOcAlYY7Du6PGtC9ky2e6Tpj+2JVwRJCvvs6ZU
jOl4faKQgFOnnRlsI6VQxxF5H2ZK0qvOqJUysk49XSm8ap53akw3vzO223Bg8rYFr+/ObkErXYy3
WwLdxo0p4+kutSEfLW7enHw/GYgh9e4TGlHrAY4t45wwPIhBOTsi1Emizwg9YmSangE8mmOGJaUi
xHEX8qJzlirNFYP+YZulhroSTNs5HOF9Z1WBzi0nNnlYouTYLIPZ9xMYqrLo8NIx4d32ac6wW5Hk
BZs2OEVBSDRJX+uNTKnmOYA9glmUP3JCg9be1CFFk0jsc2bw/lKcNTkar0S3/OI4bh7CUTPbQmHX
k+XbI0DIzXBFdOOzEOqVj21PlQmPCVrmLTYomO/kM65JR1fPYmpTBKraJDfCtugNVaaV27K36QWV
FrnMEM/giKFQreq62amkjuIdhz73tY+NQ/Jq3RA8wzYd5UAzggo1nU5qzlYEtxIIjODyubHGcG3C
pPkAuyQfiIC274TWcksoH0ZGb0nNHaSnn/gIwgf6cQzbLIlTx23q9QhwaN0R3kqDqfev87Yy1zhP
860XTvlxmCpaojryttqqy71lJdW6aYMKZoqTnuZkxqOvTO2Tp1GP66xafiC8tA8xotm3pDbTqsgy
Q4fD++lPNegToKKMFB3yikvZ3BYS2lOOQ4zQDk5aAekJRx6/+9D1GHYCOdaHKZbJdTxUYPPqOr0S
Aw59ZF10VK+Kqccq6fZyuJ8z2/01ZKMWJ2vJZ5RavgzW0lv8N6ea7Hzrjv6ktqZP0u+ah8xfywbC
8HUSd/PTUoZQRwrbMtGWaXHnbtzcFG+jp3qwKyMnvaVbnmwRuwhLCnbHOXdRsanHzOtZM0OTf4Lh
T3ZZ4FzGkLDv7YoAAsTpihTqityaAaybY07gHcEX5ewdvKvFcq5MGRKUHUh+Baq4fpVUGsWAX9Qv
fJB5RohQv6Edl7ekcdyghCNpuGr8a5WEzo7A8IRlLuiq96Zu5KlTpUBd7xMqjAw5OpDtODyPel4e
82jQTymqPgauob0dLexmdgVBarYyuuxt0RQHpwlBy3R+2m8IVVkwgs0Oa2IJsAEPHSGnjN7LAYb3
Rf3j19pduQnpxwXY/p32Y3rps86jDblW2LMBSmJWJrCt2FnR2Hx4eSjU5Z7kTz7rz01fBv2XqZQF
r4fD5L7nUgfX7N/w91NhHiLYNohvH7wgLPcEV01rRf9y1SBwP4/IxNzYUcQz8H3AEhJTNKACDzWQ
+ggC9RCx8DJH2FnoQFYmR6vvD/GmISx83XtET1iwSa0pVw0MGZ2fVZwRKaLbFx/YZYLaQOKHLKG9
eRylDuFAfLoxUbcdQ5ykPjkFDxwpI97/MttDowFyrRu+FdZJyFFUN6qfthae/D2tj18LrKojTvGF
nJ7xhVyOg0YOt6dT66zCIEKFijdriyuEZOEeDUMBkBehZVWsAenokwzSBw9J1LYehlPk2pO15mmB
jUlXGGVr1J/9NhM/p9rHHVxmJZRueYnQREIBixL4Q3fl+qbf+76ywDkZSE9eBm+hn0XzSvujuSeO
r3uIx6B7Ax2S3XLlORfTuts5g/FvqeWI0tFxsCt5+zb2IL6IzDGHcHGmW4UWOVrZYRH9pAdLhU+/
vLmqZNzhCWXNQ0rV+r6/6/PKwoQWa6j2OXKG7hu/I8BRm8AKVA7jxNixVBW8rVY24TN7aa8uCFG6
WWpGNMWBIzLLEe1MU1N024xUA/KFl9ovz53Ks+ecJCv83oG+JrpsJHjtMnGJoL7NDYD7AuZtkdT8
6/3YPiiUXPuycexb2iI+/3Qb0r5o6egp359oolPLgtuctChum5xlGqEz0PxoWlcG/2jjDrdRUWzg
JiDSlNklZTtag1f47hfzXHVT+FxNIzS7Np4zfxVXbbnxneUN+ccrekg8i10udkiYN9aFZxI0HeKV
GV59XNMTYqBDXF5qvbSjlW5CPNOXtju6jgQ1BtrQTVkmFzExpy4dq+wAE5vD7OASQ42vUR6pYIcL
CQQX5c7u2BVXxKM3La2dMUQzfWGrAhIhoyWwkn5ZMVWxbtCyz/XOtkr6OHQ0kkfpS0X8dF8fsasS
vpMmzaM3zEQ0+J3ntCj9W6bUNDxIxVh60d21Ev4+C5j0nuy40QeTxxwiDaeVeiMj15wsKVDRzKg1
dnnQImeMaWvao++98buWXYfT5TKowGgtlwGoKSeW4i6y45rGzaLlLywUFL1WY6GbCitH4D7UFy7p
ZbHMgRGSNyAj+e16+YVCGATWPmOGwPZGv+RVTbn/1s2Jf81Eqj4XSAQeGHz6R08AIbBVHJNIpv7N
kbNcbL5d0YbvA0I1ChmrrEhEXDqbZxsuMd1+mnb4Y3m3sqEGOGE5rvPlVq587nmFXyI7a75zH3jZ
qgvb8rbStmDEoDN7IRjAzcl3VjZW13nC8aHSx7REnbohgrNl36m9H7Pv+reqyYqfhb9EdEzj+Laf
avettyTIqbaPy49MhcupQYAzEPoV0oYowA7jpSV/Zh02tXoMa6it67p0nY8WLuBhNB2Zi22QeHe5
HdGNCHQb34FFoLebYHhKovTFbsPuu65AwjFEil4R6dbvFu/+1mq58hmXMz96VJKHuUqXVwiXyRsh
7byacxp174L08A+6wO6Pop0J3mnw9UcS4Y/bUsIvcvBRFrvOqbFcly2F0Ducy9O3WCDkWfRt1mS8
uTihAvw5s67ki6XK5CiB4p7NOIbvmSPyte0DSrTnIAX/1mfw4KwOPEltIqCnMEZXbV3o9wCN+mmh
1qaoXgp8JhSAq64t24TcTvXE5lV9DVVf33mVIYlFUAWtII3EW8q8DNG99YM4OGLNmcOjIGeZ34BK
L/YDAIEbdByAsVn29VbWTXnHuAwGwhTT71JpQVFSibJ5nNuRlCFSpFCZg28oSGhvs7PoxuLojnNw
hJvakahYN7/gTDAYrJ2OzObM8cmGwrdWPLXhaNubLi/rMwtGQCBQyp1DgGjqPcfkSawHoXHQ1iVy
OmIYi5w6G4LTp5OZ8Z6G9Xhn25F+VINffyndF2dStPPT0kfeN7D84Bx1TXMd48wjocMZ5Lfqu/or
F/lFBAtb+71CevKWGdP60Bt942Ew1rii59GFDofjyjvwqIYboG7uU6s0aR9BrciCdqPWfrBM577E
fln+qmLzQuxQBWGEimSYG7CWPqx2VIhK53dLP84fJelAkGbonfbUUziMfVrvy6HtaOupcGhJZSHL
nV5WM1BgWF6z2Kcs0aDnkfvjboMPnN7MUwfnWDF1ZY2IYVtKCOZXScb+hUUfi9S4aB6dEoE7ufYB
m41ocwbRTWDZ50G7E2Orqhc3du/TsEMuPa+V58cfl2yYHEtN++ZiQ8s2kC+SI6TW+iHhRgU7cJbu
M9pa4r7tUvu/KI1c0tHTcv7M4mqkuVIgFj4QbnNBLYkW5xVPc9aSKc+eicqxnby1H1bej74O4Vg0
lPxXcSTHZ6+77GyhN+7jxaJrb1VOSB7c/NOY/AJW4qKsOFrznlAj8QsYJjgofmvNlksfe2KO47/H
BYY5E48RLcsOPoM3IxVxnGt4TniMTeBivJKu52K7poMtgKcaBh6SP3hygA702IVcp9o2sSyZdJAO
3m3dJKV11jrZZwQC8ei7qSLZMe4A4/i2nWLCifSnmX2gvJOLBWNgdDNf5blVrG303m/Y59k+spjD
W2miMgf/mstfWdHZVzORPBxwLxnC81BWe5kP3rrIOrKtSCRimBdUR+j0DMp8hml3HlwswJBuz27S
Ru3nkhEVSHfSMq+Zn5REE1FN1EnzLQekkgph8SlDbXU3LtIiTtXltIbm1Zznubc2zGo5488ggzzb
WllM+/acbWoyCKFzf+tgkGgayZS8SwJ1S3ZRuheQy58Sgjpx1bfWdMjw6g875vYJ5Gb3QyECf7C8
zP20sMSQnXxxARLK1yuZPUs/KezDMtYhzV9Xv4Xs5tdWXDs3RVNbD4RK/ZMQ48+Sl9B2UUGxcV88
ve5FPvEHxUKS237TJDq4nOkZnnJivvOJR7wlygsPDrNZ+3YAef5sDwNb6d8LJty/kksgQWEKimId
4c1v+p5FWB767SnYz17c3YZeY+BktUwRSLXfyxHhbcSZjMG4nQ2/xoUtxfQ9dNMhd1Y9dzZvWrUO
gpJmJ2S0dVExYKomT+5GyvgLOdG5q2IATuRPeeSPsaMuB+O59YlA4uXctelNK6DhjoreoESpVaz7
MYdmhUYei0sBAanuc7EvpxzOKuqgjQeic9WbnrzeUT2BN2YyNs7OHWaAz6yq3TU8ZoKKLBb8rAYf
v+IwhlRqCuQ/XDrxZxlhGNKzRWArBd3B38PISx4lLp9LtY6GknODfee601zj6kdJ7CBZGme0GTJk
7u7M/XwFQWTehYQkNjxMGgHTJoJE469LuLrBqi+9LQEbw9GuW8I5J+tqIhd2GxQ5BbDMsgM6Zv8f
hDkXIelvaqswxLIewlxw0DMEF+XcHx69lL2kGUIT7m3TZBxxCE0v1gG42qvF6h7Acnibgc15fYnd
ORHi0n8x8eqPxr6o9Wi4KaciBKkdSSCt0G38w7P5V1/OJU1TCD9En3p5dP/w5cAGW56DGnufOzSq
GEXG4bUdVeYfPsb5UwQMkj0CNO3LK8DS7vz2OQ0DY7eNmnDP+HPO2b596HOj6TfTVHg/BQd41si8
WVeAhjcR7pgHHCjttKExnl+h2QlviznIkc3wsjTEkNzizLJxN0eLBZbbfmq6vH35+0vj/C5pZL22
HYX3iTUooPfzm0yTOGbyuluevaEVLAqLIInAt2kOZlHerOj7uy9h/j/ZO7PeRpJ0Pf+Vg7nPRmZG
roDnwiSTqyhKlEpL3SSkUily3yJy/fXnYc/Ynhn7wD6Abwy4LxpdhVZJRTIjvuV9n/dSm2n9XixM
z9j/kPM5FMlxJvcJql06f7lZON39+XP935Zfn9NfXa3qb/1fbn/yLxLrupRL/080wv/41f9LIm0u
Yo71/xg78UPrj+7fHrqPr98q+SeZ9t++8u8kUOePAFU1yEtYETBIbh9V1Bf6r3/xfaKSBHFBfFD/
zFDiDf87CVSYfziW6/Hwcg7BBxR8kap7nfz1L7b4gwUGH2zBB9wCZvGfkmnfuCf/KM20GAKh+kHc
anJXIKf95+dRk9JKae8OuybT4RPm+PlCZovHSjtMu08jXHgazBC55T+8UA9/+wb/Bvr5oU4rrf76
F6gb/3pMWaGD3tVCaB5QKMFn+efv3CsvHyYXLYbnMM5KO+E2H5gUEIGlg+Ww+Gjwd67TbuzfiiYj
cpvcd1YEgV8IgmmhxXs7s2hoTFUnive4jVGrzMwduVxnqddBR4lvKlYq67yE/7Ufbavqbho+8tSs
UQNXbwhX+sQFvRJ67qodran/Xjrl9DHXdvhSmlmZROzShsdZzYSE5qiUTmlSsOdA+sVcZbDs/g1o
d7rlIB42QVmeHLa2u1FuZyxaOIerT9CU60QLNrAkBG8U22hmjNad6sbsMexz/xUQYbsTsZHddUxI
qnXiOuxiDOnFP4yB/AdICAZpdYHNMCSef/u1m+9MUlti4IYHzeIJl2fyECS9vx0mNCzcjuwirOol
TRnVjQ0DRmsEmBQYjOpCG8IFqZwuPGGQSzUtHBLhCzJJRqhcs1gHWFiPPV/Yte62aphUGjcsHCVE
BmbS/sCCg9QidEAckh+TFCg0RLerCFkdbzGx7e0iZ4e2I1WTICeXnAaFrZ81nxovHL/tHZQpfSBB
Gh58oXrmKgDea4rKtcU2Zd1LphJ6TP0Ij7dgERiTF00MxcFm3wGBX7gHB+4rTZPdRhZVCyZJdatp
iKheYJyy8K/sfR5nPdsqWQLny71diOt602Fn2S1jh2vKBq7OLFgW7EEN56uxBrnvHdPY+IZn3AOb
x4dKXX+dl0Llm8qBi8JSKaXnujWSK4LpBSlHbMHkxgl8J7zRtAADjsJRH7Pv5TUoBMH7zgSJlqB3
grM/p9YnELHyS/uMqNZB3rhsDZOxvzJ5u2PEiA1z7Mz0PrMRMWsAYnhmjSPj+uaYLGVN8AnBx2zl
O+KLTQJFF0IMUYivaeZAu7Da8zw8cV79ULLdgqIQu8AQHTZkGxvNFh7DW+THZInirkAZupssoBUA
S5PgqXSNjqEKw5ZNS8SJHbmGpRFZEqd8NjvSL1aqnYdHm1TBrSOTWR6Z3jBsac3Wf1c6mOmEbKhb
rS/IOWl9I77OY2AeTE0Qwm2OWQLUqu0DJXBMjK0ZyD0QPee5RojGrpZKld4v6DP6oNkZSS3xmuIi
ynp4CWULcIybcnzKvcnG/Gg43RgFLmPN4zxq63fdMmj2RGm95Mgn+50uLecb/VIcElZjI0wQqgUL
hN3DNa6Bp8etR4jzKVcQTxga29iZGBfldCfswJ97ZERISlvj1DUmkFP+EWtXpv61X9wK7zYzs22x
GBdo+1+ezD9VmdxZQ7ZrTMPZMt4Vq3Kwi/2QhOLiOcB1Wqe/SzXCkGD28rtQo3ZZrBtp18SbWlKO
7bOmva+8RT0wr/qC5wimp+7KdawLuTczvzlXvp9vESaFW38um60sfXqi2NC7CZYskdCTHelxqj8X
r4PnXxrevTlnoGPKOR7vYpVP32UZS1QOo52eQpQmCR/gwIYhX0EsXnWza336uLyOhd0XJ3YylwmW
LbxaBG1iY1ksEX+39Xzz1rLlwJBLoAHPpfGmoRtw9qs13jT3R57MdKnV0D+SJ2e2qySNg41204Eh
yPK7ES3nh6odB74Z6a+hPfvnQThr18kXsQonQ0ZjKVPAYEn5YDCkZtMsesxm9Rhf0Vvl4nlASqoZ
RuX6kEsQh9oo+3sGqyqPWMzVqynV8yVAnryedc0CBeavzycr7mgvB/kZIIrdGJUb7EUw8RdzfZwP
kHfZWds2Yt86Obm8jyhdQLOiLmMoPOb3Q4zYepTxnogtAjJK96iLBOMpWtVj77nf3E5I7GuSzouu
JfTY45OiDpnIp3UTt7mMumWhbEyVtKqNMbfdFyEiBCLLvDPvfK/CXWnHmVZR0hkUegHr9TO5ElcC
V/JXncKRK9ip/Sa2pd+xnZ4IIeeB2bntAG+iaWh3o2EYAjqPvGSXgnxqmKxuP0Pr/6KodR7U1Maf
M8ZA50m1JcesXqpEE54jzImhNeLMTUN1QBQwiTXE9XWoKdNFrLPe/GyguW7dUiHjYWh18tNwM3XV
m4GovLxBLGD6g/cUOFgHT1i7tOzxVzlNEFgru03185jbiEBiK3OICvTHiZyGzl4Vw9g+zEH1GJNS
ssJu2W3IhTIeCg0zaDJuujtEeWngsOLu0o3FEHNjt3KOpDxgEM+ikTHKKWu5mdxuWAlYy/wVknM4
mF+tP/2aOd8PoyIlDGn8fEgXYqIx6tt7A2I1awdUyzYSuiYoJriknbsLBqhtMZPVzZIASqiTCQaJ
K1+kQH5ES8cHIB45niXL2xEo+LAujSW5llMD3zZLt8YYR2npWczUe/sumdIKVhdkDNPw069J2ppu
e9DnQtGt4qi2UeVPGGdVS9KaAinSMLvZ8A6NEbWgWCtGF5thWn7ExcALWf5JkOKFLdCVnesA+BRL
lB+jmxjPjDG6vQ6Bp1Bq+KvM6/SuBoG24wQKYAAhRgtyBAMmvKcNCBVvDwkbr08WPihj5vEtbecy
8b6bY6HI++uGCWkNNLIon3y56wKkj0J0YDcxsbknygX1nga3NxVhtrvtWbE/eGnDOtVCdxXVVTy+
h75ZXH3EjScGbvm3mlzvYHDlHBCGja8ZXvVNb0/1sB1dE2WMM/XE3/pm/G0mC5IHd0bsrgsbSERm
xjsoxy77mNRKHqQRcnPmcjCPnnSmHao/8RGiNbljIDFdMPiSmQEvKkx5vW3vKMMS5OcAeOso7R4+
QGi5JzMYrGecFvHvQsUI8clPKXdBJ9Ocg8mKD5k23aPkpTbXy5SFkRRGeuRRUYTXoaOWO9heOco/
23rBfBOuGP0MN/jmhIbJLuQXazcMAwW4qJo3oSL6ls3Is+172T5NFELcKVt2lTkPbw4cklPfgv3B
6uwlYLUqQESqRxapUS2HkZuI5TnP5vk3k/eSxzTI82tH/PE1BF+FNSz1IHOXcQ/92va39IjqJZhr
8z5OquqYMPDczfaAg3iZfZAxfA7kG6FcDvssIvvcyZieh7F09kMFvcAI4Udq2wM4h4T8XADsOmkC
Jt+MYsQPL9v6TTjxAW4auW5a3ndB5kGglwQPs14ZSGnPHcQuaUKAECeetfJItEIcJ1Ab+123qw2b
gmeM02ntt3QWq14hh1kRXs2HKSfp+D4O/WTHWIWUyaGiYCxnzRbWWA6YUHK2U5X1Q3gDDui601CI
45HI8AWluPXAFcH91kt/mDnAgPKWCuB+UQAUCyEybT1RMXti7HdPTna29ovwIwN+FqFyY8sX4N+x
BygKLUilL4oWwE1eo9M1JBw2W/00VyxKx+7QtIN656FdrkaoqDbdqdrlHd+EkbZ9ExTkkVvWcu3B
qHtA7mDfj8ocpo9a2FP7CI+8LZ4Mb5T+RjOWR2nGbDRcx5Zkf43yntQ9h6EZtyzpY8RgBoOxc0nH
upbOKJ+nxkq/F4OhWchMD4HX6Mhd35nqsWHK+c4w23nuJyymJNjY2OEXifc/S0FsytJIvlBzZ0cD
a95H69haEvWaEmM1NrinTArU37gwlqMcaxGwv8NwN3cWZ8UCDZmCTVmcaq5uJVSYnCMbIU3/6vF2
f+Sx7/xwcU52zwEsV30fo1EQiDGBn0aWgosty6yLbttCphWuBDEalojXCOUkwurQWHwIN700AEz1
rupQ/c64MIqcp9chOwsZDvfhqbayEN+FaJt72aG/AtEhIMkZjY9KovGhv9RDI3F99IK5yJjsmNw3
L01o9x82LRFAxKa9dq7zmBpA4aZCbdDSBCc9S4E4lzSIAvPnByPs8aeswuzg4Z9/ydA3vFms9gIk
ObPzDlJvOg56nLdDCE/DXoT3iH2PhZMlp3jvZEXUzk1+oKJO7iDkjvtW9QRo8BJ+DL4ciJcwvAeU
vd22NDAp69on4jZDqOrZWBOHPrtWjuGcQ+ZMOc4u5vtrmH9ksgctWnq/mONT3WElclw/Pssk+NnL
5MsYyumxbxigraa2KzmtbZBsyhvCb2hCqCn7Mt06tic3w2gnL10Q9q9jxpODLle/Zng/NvhnxLkC
zXhMQfU95rXzLZ0EYSZYrGtLOfsAmhcvGG6b3xiqF27Q0d5XbHOeFyTEx0WaZgTsaXzJLYLwFKyk
exW72UO9dCKau1YR0mg1+m6Kndt2VzYHYt6Tx4EBwEY0KftmUg+aB9yZxWc7285jUlaatN6bVS+o
u8vgjvmh9tvX3pxS/COBDdwwLQXqwzoM1h1D5W3e6wWIe4FSf+rNdY6fGiBKZr+xkrDPkIXzU4Ee
5i3FyPAzTjnzXUmdhjJxuEIuBuZFLXZfaUkgrYr1uSda4UlT5eEoKECJLezBj3gTAfEpPvKD4rz3
m7r/maZdRfiwTj9mFOJsqENaaqsa/HPg06ytBvBvv1NulQ3yA4AVOCajYLzFvM/0WATQbiG9ZOcK
GMxLEbjq6EIofsFIQIOaeCWdIKaN4AZCKRNhPfjYJI+xj4ncGAgsmObGPicszL+dccJNkpqV/RxQ
T96bJXcei8NYfAUS29S671D0mVKFzBVZce8NPmhWJIrBQOqr8/61b3MtN+Bgmlc9NW1I3zVZT7k7
N89+Z6uPDBHaRLBw31YbLDLVG3EB8ceozYIwBcn5gveogxHI6Yc6mEDOO7SCrB9LD+XyFqdI/CH1
SH/l9qn4HLzKe6ntclnnvl8TD2g1G+wd/mvNkniND6q+k1RqBI9ydvADZZC/q6DYpoPvXAmhsiLL
69w9r6S6dJYazvi89AdewOFkDW26UmSLRqpOi/3cC+iLiarvVMCBUcu0eet8M93KvDSubpG764yd
88ry1wjIhxpTZF0RINp6031oEOi9N7yFNDPi1uZVj1T3BZ1ezeYwn9LvwXSCbdiZcwRkk8jueBkl
+o9qnl9zekjinAiSUH5KsCx/eUlN4MQ01HainHJLFUAIljkk73aYWs9+VvEBSq2Fn8FQ9XUmlG9i
ECSrF6dsv1UO9yVq/bn6wGEzf+Osw33mGhxDYKc3Sdmyjx0MY+dN6WcuGWxZhC73/vxRTKQSoigx
16NG6DEmmXkrxl44ZOrbRu7JjEdsJiQ2nmSmA95NwFl9WLgb8hvv8h7hXNIHV50q50KORXlnSgfU
vXAw2kATzA+urqoTqDHvAEmSj4PB0O+4lF0PXScRt2uq3KKiBJ7pI3wnFJMnzVhOUz8H51TOyYah
R7ezwtj8RL0sPxEKsZjPgZXw9UV78hLTPQ90UOwlhb5ms/8wL4mF8HQer6jQq2qlLeAlPeIzHAeh
gyFTdBfXNi+3mdC7iYYbwFAzWoJo3iq7UNmxXzU5r84JYH+mXcpN5ApWGcB+NLiI6abFYf626I2Y
kuIF3FrhrcKx8x4pDQoHg08eX+yM3a8efbXXDv7qrBDgdBX2/SCeeS6LOGTZhTN0q7FfIBHq6+7k
dMwSccLZ8WsrSUlTXaPeM+Itzxk7MbUCI8oB7gzuo0j79tzy3dgxt/FDYpnibDZGxeAsrP0T9lfM
EzX+ITud1anRZnNKnTS4elbRbKuRwMGNXfGczmrQF4ZrSkeuUJQ0gV/mUUtixbhanCaLpDP/ChcY
etqWgihy2/wyFokKNV7iJ4+TaeX5Pcz3tsHH5i1BvpVZL7eday6XG95il9hoE4kYKoMzppvmcTEQ
f676m6I5MUS19wAxfkxD4WOkaLIf2Mw4BadatcwbiUdrGF4hzDMaMilc0365xf0iezMHai6EeUJx
mekaQin6Fdo9C6O5bfwI9AC2fB7Rjcwl4S8mwaxRNhXTox/bxN/MgXHQhdccjdokx8ao2p9mSgHC
1hc3cZmlHMZqT7vOJqpsL0SU620HKYO7bOIi5ZcupJ+gvMMaMm5FwXW6qZKsmddzgDDREQnPOArB
BGvQHO/6vO0sLh57gN0UqhcStK2XYMRji0EmS1ZMrm4pvF6WRn5R5fTJY9o854pifJu6imTOxR+y
amvAKqtPA5QqRrJNzb60ZPiBSDWXxmsFRwrDd0LiDYaYjoQHFBfXZU669FT7XvqU+AsKjQK1pb9a
XA9deNam/Xfml8sO8Yf3M7cX7xpMYW1tfbj1bZRlnlds8eRybmUtWXxAhIhIXyOtElfEQZTIY5ji
EsqDsHntHZF9DgbyrHUYjCaEAdXF3nFh1P+cOkv11ooYs2xWtZeJyAVI026rHjGhLIzbQEQ/NCOD
ODE45YXr5t21UpKyAkUOLSDgn0Ytkm0zT5BNWasfVWCXL5m6ZYlUwdRuey+x4ddbBYMUfeBVWCJs
UBN4OeWjWqzD+gnz/rQBzrk8M750j0Fr+w9i9hgxZCMYStkv7K816WdfTA08ErgrOyR3tGN1YBAL
6GwMf+z2zJAJAe5kPb3hk+WCYIQ6n3Xp+FGfPKYNStuNrMgRzXVc3ckO5WXudfnGLvzpHNvcBHvg
zU1JSG2iP4H2qxpg3tSTIVYTc7Bi6uw+Bo0Q06oZ5yLcwL28ZXkLJrWboSaXdyMIntpyjdgPhRPq
RzHbyyuD8/HR8HpsoaFV7FLCs3ZaNeKHIH79QjaCA8nZwEBRp/YMrdTNLqpnixnVY0CYYZMn7+nk
FSdtWMNDZ9hknpeLleANDia2LpZV8O8ksEA8p1RZa00s9BtCPI/xP8X1NiHSdmcm6XSZwg64m+/k
CBxzXojHOusWg3wYW37FVkJgS+pY1pOMb2kpCHfLpyz17QhOIQ106C0u1ykKA6KSaKSmUrj3XW2p
K+lN5tXGtn+ZDbciPjdO2/cFv9q9t2QtvXwbeGdTGSZjnEpl1T7VrfUD17h9StuQ4KsSMU6CYo/5
J8khZIoQOx//SrH2fqBhZFaGeJveczDbEZHZAvPNmwVt3NINxSuftmFYVyhXqekrNV2UKeJfo6Fv
BxwPkUsWwKvP1vYgLL2c4YT6xySJIQu2pTpxtnMBqdD8Uk5PsHRYc/ONjWH88Iy0eZy8zj9OiJ7v
nFEPh0Uk/bfqnXTn8bFt0U/elNStnqbfXhaXm67oN/QQeKY1SuQ9dEL/CHenBBdRF08OuTxHw67E
CtV9/1VlLbaVxQPq1hRmtc8cf6JGk2X7YTWmSiLZ+/WVFonpd1MpMEcieCRYpfiF8c9/WuyOfyHx
3So5tG9SAwPuSMdh3ZH6yjhqqGZRz2v4RLyQ/sUNVAb4oMbw2YBZB0Si7Ow0Qt/w0Je+uhL54bI9
4GypcAk4ZLWZWj+Uwi9OjcUXWTFpZBLx3IOHDdddmXPZ/1wYq90u5MHGWg+QOUYVLBDyjsWV5A3E
dkmY2c0TMdXL45SzYksobu6QP3mPLLeqQ2FayVXZ5Mva+eSu4T7Tajh1F3WdlayWZIwv5TB7R75M
AlNrjc/JIu6HX74l8ZBHKI+mD1rm4L73AcrMU/nVonYv857sFTyiazsL57OHaPYpHUmjxXtRr7Mk
fJrJyI5y5FLcjIwuD1phwVkhscF3a5vesyAldBV6Pg/P3OiNU/BcrzqYwNuB9pUNTc+Ew0jL+KAp
23/6SY1vHZVAuXLE1F0dCno6gcI1IEP03HLDNDVH2CW3qNpQqnd8kt0d29VfdYeacNVo5V4Safvn
0audx4lxBraaAANEbsVS0+6yvkGF7B8xWOw5VePbAje4WRbrKO96+5vY5gFsqnlTH1q1AonN2B1D
TI4ep1y7lAin3vCrVyG5skBTU7IkTDhzyx5RI7JtqdGtNS/sUzW+e6uOklbXe5ypwcb0TRFhDA4w
wQrX4TaViPFSrcufuMfVmd1hHxXeHHwT30TogXELZua6fzdJacH+1heBsc7NIST3xaWQ9TP2VmLp
6WBsKxlPCrkfuQQt6Sxscxj3Nu5H4yIUxlSojUNsEArlMCNJV8iTkSlNLodc6LcN7iuVPLkVOx/y
C8fn1J+cr3qcp09iBPRzO0GGXHn5dDv/ScG988IMW+Eipulnm7O/RB1I08OIlNJkKenxwElzGA99
4LOHAcvCRZPr5DwapvlZCKiU0djE6FqR7ZEFVoXeIa59E96xgAHOHQx5vkE0NLuEJmIAI9SuU6jg
NyiLwZlkcTG/toTIs7dJwq1tN9z5yLLJVvFMgnHrGFjCBlfJcibvltMbVVJ+9EP0d3LCAbRy89n/
FZoZmbmeycaPTBu0tbh/m9hYWeEM+bdME2wcWhBGCdOLpWdZ4WFYeV4v2rtwmvg2UAElaTOwEtel
51g/iqFjj2JX+WkasB2tdGwYB4bspb9xkV3yGyMP3SruU/sHO1tRrEYWoiilKtf9IuCoum/YoD5y
eVG7FFyXq9jlaj9os7TyjW8v0xvzZniJYL6f5a27AvIE2l1iaVw77AejkXTuzZQW5jkAE/SVO/Xt
EitC/DB5l6wdHJPx1kVFsA4ZDp+W0rSOoE+ne6KP4CYgeN6gga4x1ZDhRWSIxZMFbsjIxkfHYDIK
8YjuWiEMr7rjHFckTBmVEencUptxboffVuNm555y4h6zIefXAm3W902khkNjr+OB/4JZqwk67pX5
ZqKBhM6e5Oe8G+2o1mYSYIIYiA0Srn5L+mZ57IahuqvzlsTJBAKAY8floQD99KtoEHjLJujuyh5Z
IbTRrFs36Zhu+mJcfikMXHsClPxDt9TjnnqdMTFucnf7/7VB/ycRwWhzUOT8x9Kg/1p9Jd3H/0ob
9Lev/O/SIMrQ0HdDIIn/RHD0vT98z3ThPYYCTJ7nol/7byHB4R+Wh4DOJJ3GCnxkNX8XBln2H9gn
kL3xx3lI38L/TCzN/xTYdPsWlhdSdweeC+HrXwSsniqMAfQVTREMAvXEBCCgqDaqZkOl7V0cPwnY
p6KTAL471VsHdlRUaOn+bwB8iJ3+VZLJj0EsJXo4eGZIMv/8Sf9BMmiyXmBpGvKEkMbwkgc0cbEX
xodBlvZzn6fh3eTheOCgK+OavWvdw68IjYjMW3fPb7Ghs0jVq7Fv/XSTBkVkQuYGIJKU01nG7oOp
5/iwMDndYJHt75MsxXedEYIWOa1hPyaKFXLKIPeA5KNbG62x6PUkizgyOohOwvXnqJKUwonZ42S1
Hd/eas+toiyYw5PXM0PDZDTk64z//4bKmawDXRObAfIimTc492UqjD2xCrDKF6XFh+maxdkV5A3Q
rBSYhiazJYRMr1OPS0kIvXzhhHWfsS7BWJrFQJE2qgdsCVQXIERSFsxj/an9QB16b+guiaOto1nj
gvaSoEcE4egHyaW7cSobJX0mjkXd7CcQy6uy9+SPmcK9BWuEscSBafNm9RjvayRkP5IR5nePSeuQ
VQiAl0HYd20ijS3/i7mb/BhU/5h0e/yo4Z00xHhgg2dturmgnZEzioi2P83aSO974uCjZmybyGdK
nq8ZLIotqyooJtph2+t6+tll9o0l6xbtI9vkqahG981fGO11M+sC0ZnmviHCkr9a+0AtDAeeKuws
yzx77sfJeB3HdsDlfsMaIalDWkGlClA8WwtK/q+2zJjugxh+dMoAPVjsGf15bMrumErhbMiL2ULq
PjtJu0f1cApamNxyMuAdmP7FFxlmfRMb/Xph0GGXQNVYSLvkb1aoWwUadKU8nCTJXOyZ6myqeMnX
CvuI8tRD0aceCZVxy7pHVZux7ACkDfgCGo15vslz/ZYSerKrlK4ZyaBnY1FofPpLO0XBUM33JVYN
+N58nlI+VltE+XnUYDi//Zf3JWE87UYoI6+ImVni0PHNZ+kQf4Ipz3o0J2bJfTlMFwZKC4MduuZx
adIVUSOXtCg6KAL9smuk1o9AYTzIMM7y6FCiRu1CSVgKJGoDBueHfE4ryMa2jATY4ahiVXlIWoZF
btLKTVeZOGd83ezrsWleCjJ0eTf9FoZmnmA3L78RbsmItqB8jh0fbj6ZOhv+DPTWSevthylc7ib2
8Yfa1cGuwv4UCSK6sRmUPu2eEYZRB9NuPU1xs+mkSPcdy7OI8Sc0GR9LgGJu0bGpFjhzOCI8njU2
FxujmdCtV+UMG7svBJZqklR6MXmXVBniOkzj2qzU/dQsC1bY2j0HtTPvEM0NG2fwrLMMkkvIIRMh
4LyYBJkS7TBRRVf9abBE+msmS+MbR36/DgtNIR0u8d1sjcwjfUGLxam/F33hHbneUfiMDoq4anC3
hu97F8WPzXLQja8Sj9uH3dzcV5l29xrI1q/OKdorJ3NwKAgp+Gm3PRYqn3ViKL0yoQIgX3blOtLL
D5T9wDzdrl3FTCxmOA7AIzbweRhvqaZFIZfk49ZVYdDcV4M5QkCHXnbuxwY0OnKUbSYHQQZSQN0c
gytYo5/0NVoMU6An7wfkEJYAfj6kMctwI76QLVYva5vAChuoTsH7zORIu++lFfSPhl2Dc0LG170o
Jol0DLG8eLorj1x+wzlmnrblTJt3BBFWR5qN5B05JB15IDue6wTrGWrx8LYwYaq2tq1wEndJk7tH
H4+UE4km/D3nXi4PTVW10djr6hgUyn1z0pDs7wxv3gqfI5Uyov8dqk0C0UNmWt8p2aENO5xOf/sK
aHjM1PettMJ+33j1pUqMV8Iw1L5ClcTcxYPLV6XoLBtY2zRhXgjiw1ycd2hg+Js8KARvTtkVhzCb
b2bPkRjhMQ3Wc4mtMcEryvTKjslq1W1cPNC2YHwhRdSZDl42D+FdU8ZW/tszXNVfmag6T7KpxbTV
jdF8kK81fcSxXb3URWKcW+lVyGsIjeQR6vhuZbiMPxp4VwaXVOy8yGF4y8vQOM2BO8VQFueOjNSb
MtXVuBfNVIxijZteHGXTiWs1BbeEZnQIpDTN3rc12+6Vq1AFh9HPiuwRsRf0c2w6Tz1rvSc0SYSt
C6tFXzgQlfstSyVMkoZ875WqWvxCBjgfML65SJcG7wRlPPgNKtByEAya2d5g1HQXZw7zPqMd4WMl
rneuSCYitb3wd/D/8Lsro/WY8XstylyvvTqc1k9IWNs9QLVhK5W03S2TrYDpvBNMZzDwYu/AP4/w
aONCc2J/pfHAv8AlLYKLsmI/Ow45K/whOEGMIWjIQaV1S2CC/BGarflah136PrpZb6+6Jl1AtuG2
ElFa9+5PD2x9dckotm8e3Yr1lioCMyosA7LZYofWo1XRARuWIR+T0R3fiq5Bt2CM4qnWFrQcS7lb
W0w1fmZD/mB0lhyoanJ8+wN/BLXWmG1E1Q2bYkrHXVvb+mT5YLCo0oxHdwYob7U9krtxqX/76WRv
kQkYsOkk2AHyFMDm5Flb0ahVOW0NETg6WpabMBEULoHBWEwxTlm3aBjUVDRv02fiGyMC3Dl5lXap
znSy5dpIEou5jiPWAy/wehm4P8usXUOPCQ5JOS2XntH6pmvBqq6FWRrUYsFumjJgHVWZl4gC87jW
04lgZgMpdzH29p6E4mU8qjpLjpQz9QbdAppLygbv2VE9uAEMyNWIX8q3HvKWBRBcJz4KS+2pddaJ
7spXbd0MFW+H0oEIIpfxXWH6p1GqGQngLEuIJzgHm9hbVnHmzgcrs/WW3k9yHYlwW7U3pCquzx1z
JHkZUIVuGfHPYMC64M4zcDansktXMKEa5zeEmZvajaikj9hFXCXyo+2/dcTR4L8bSEh0UGB+Ul/W
W225DdYRANivBmDVh6JDty3yuMg3BV6Y+9rgstzRZRI3pPJwFxg3DmEeFrsMqNkex7G3c800QOzm
De19ja8CuURv0SeWwMtj05oR8pmg2Op6cc8eUAgiBBODUSbC1VOah/kz4SvJyr4lnbATLQ6ZYgXP
GkGoKGvq+TetduGvZT1mr4Em0YkRNPrUMFM+Wj9TIPhnO0ZCUF2iNI+mSplZvHIHsvLqwfWTA7vI
dI1sBjVcHJdQPKfROSx112y9tqvuKr8377PRR9M29vnLxPTTPg5yIGt9tPx4H8ZxW+wzpo53gR30
N485jHASddfeYBn7AcvgZ0/T+uCMtqKuVrP5xGmTuHxw+77ZJBOsBfTCUTnEwzHHNMSuZiv8vIgo
euCFxZW8w2+mVqhYjQ9SyDU5buiHjkGWfbTCCC8tJkBjNS928buvfEkSdeBy+yNjXXWTQ/fQE+f2
79yd2Y7cxpqtX+U8wKFBMhgcbpPMTOZQ86CSbgipJHGepyCfvj/au8+WZR8ZDfRNNzawAUOWs7KS
GfEPa32LDA29unEKFgK9Numv2N+8ey64loyZmVmmpw0H3TLHg6UYU2TMQb7LwibTzBAIZ2VqUkA7
I+C22TE4RRvtle0xZ8iiImgGXlPpxxwvPzsg2T6us427Vw2muO0i3fNTb1WfkUFED1hfSY2LNUjg
aGh3pQGbYiz6b52F8hIkaxs40mi4OeOIohO2tTTm26ijKGA8eRF8QvtsyZ39xEDopTEda29z0eyK
BrRemUbOzZIUyasxdretaQNRhchwLIAB4eimubl2Ms4vdt45HCRmMYY1PUbgxXCtdUsuD5aSWKyL
6kIMyIttlt+0yL0bJmZiuZGgFlM5O62kIpQzdbmZst6vHRy1NmPzu6Jty/dp6ca7muqLvW0UX5M1
T0LbjQE+GV/yOUeQMFiHXOA/Z8pIVJOV0EutcwD5pjwYXEgMQtkbZyje49BORzi1Jubs5KRSeU4W
GzRbfMnX1L6Jndi4VC5D/zwjhNBf2UAGhTER9MSM153b2AAXN29hXhTRTNq2bV7j622eBnDz8geI
Ekznuti6uMNoPVhG6Z4nvZn2A6okDAOIcSO+7ZdxYei+E3VnUIJW+vYYYt5aeDQ01RUImVQYFbaN
Yiw9u/nAHoUgADc56g5BH9Piz5UsAqqOlEwZA6uFmalLZ0o9QDhOhg4gkPFkOCXMLi1jsmRJ1g1l
3lnBuqrQStuw1akhVmsiIhIuEtjVrNjyjTj/2FG+GhE+Vz8pF22b1GuXJG69N52Z4pFJv/GhQ9Tp
e21cnBtQZ4GBGPim0KS1l7M3hStWk0+ucMUH21mbRypggEFROr3mVVSfyKjUHo1plI/52uaclTgj
dhbw7Gs3ZMkNwoR1r1O0vRuIyU+u0aASsob6K4J9SHMWwqAW7UgZyWDRoy+64u4Ti4/WTfpIEp7b
bNQu5gJxpplZ2GpL4ZyUOXpMuGfvaRO7BBCLMjz9FLCTU4l9L3CUSqe5gsYEuYdmyEbfkQiLLlIv
H7NJ5dQJVffZsCvUkBo7DJgJ2qkXZshgWDvrIsXkb8zD7eANPZPT/FFibZAumDLT6m5r80ML53gk
JmkV7sEc7I95Mt9Vs24Qr6qeXA8QoFZitelgYBnbtWTH6KDryac0JP/Ke4N3EpAX9rljsOEXHas4
WFTJY6bGMvQGluJcM9XVymeT57irT56bX1wyCJjgWuvF7hJt70i3CMvcPVrESfp5lhRhpFfpacY6
cBTT+KSLijXYUk2+WdDgIWiDaiIpw0+6pLla8ca8CzPbJB4O0Ygp4NcgGzkjTV0j0ycTAYhp1lse
CoY6d6KLKmS511g7hJ5Bp8/MOYOLiHAaY4wTrL07nTCXs5l0TsaYXIwSmr+A3IB2Ub40jTNcdcsR
L2lmgZXspgGNq7lwMQIVKhH4RQvgYDcb5QEGQ/MKXasICHqcD6vN1pa5enNJiGN6wtx/v+2YsgXh
s4v2NDGz81C23yolyaghgI38PVev9hzwZ70hiYy40gMjpuaUkRwK4k+xq8275WY1N66xY+rvgvcH
0Xpk3u1UamN/uO1pylz3Hn2yPEQAuwOS0yHMEK45tUo/2NPgj4Jc+ZwlkrA1/ZEQOAL5TOUtD1ua
lwnwxe4OA1uG45xWcAixrJ30HGE6Ai4PIhTanl3TyWtZWVZgN/Z8Jf/QvU6iRoMPL24Fc0IYHoBO
h5yQJ0QVQZqI+yUFaTykX7Dmf1vijkWZ3tQU4mZLBoa0wXf1RlcfuDY14MyEiuCF1fe1Vs4IYCeD
LhuKPDdXmBsyNLB2z9YUzOiad/ThoevWfKGccs9t+82ezVs8E96xd9YQX9BFulCVqLUO7TR9HM2Z
mHklRH5quQ6eOkNfbkWUfBwFaVEdVFSRevKuzNTwWZOiCfnzXZVTtjg0ECfR0o1RomhPIOBuatEG
TYbb1qkb+9qabNUzab5xgINx1FsJ67w0Ag2kQuAuxmvpgMPIbLcDsJgcqKH9DnPgUg/f4KWbLGBY
OHhOh+55dNkdlTaIGPNkJ+mpxJuRzOUzsamUl3L203aKdy0X+KGMMPyU4lhUy5vWuBbfHiBK6bxR
LAurGJ5osnEAWelNFk3g+ozhfu4KSj2RJvdJL16yGtKao7D7kTlHvUi+xcHBJbjBwQ8K0a1vpbBo
lW1YtwocNJsq9H05Gb7I8+292et7u9sgzyybz1Z+1Uhoa+Y05etYPW0WqXGqzpHXeyG+c7binsI8
MY5eMNZG+YxKW715FaHXBGWCnWaLWDYqtNtCHcEOoMktsLKf0gHfHSp/A9R5glmuRw7QrlP8Kc4N
BPmO+EzL/yxw7c/36E9Go/3qMOd6hgdcnwxK31PCZGgPYOuq2QUNNVqXg64cN7RMNtbVPN7FJeOW
caybV0HqaoiKHf4RseBibzRNtqsGcNBtsxAM6jAxo22IDpOz2k9salHv66u6qVdLMcs07fZk29mI
cFQBO8bbrDllhRIrU3xQUKkacoz3juks3q5tRPoySWXd8pztTWj2ix311yxCtFpnOlOv05qZLrxE
1aNetLQT5AY218C7wFetznuzRn2IS+HJi7Kn0qyTIxHEzbHzmvwVkVkTtLK7HwXKBIRfeCRI1Qm0
CAxmzD1PnczilBhOiyq8eYS3PJHiN+0X2M+stlmHn9YGw3k7zx9lPSlGB11yIhrRuiHVDebJlIAi
y4q8QRsU85mFsxLu1YkbCaLFsZEfyYx/LxIMoZIqYULVyq8Ooy7CudGJsJ9TD1kft+xqt3k4AVAz
k1ToT6YZf8hXmSOArMkUBv7d7Ps0iwhLjHqoWdGCrmNG0fYJIS52y1zIA45M8BBJPgYlaoMgXfWO
vbUD7INzYSmMG0/Cd7tO9nKpZKa9RmZDgkBD67HvNcN4xh6CjMDEsgDZrC6zq+opyZyoMcJpNvQL
9hLiMMuqXIkCWGwHHDfm2iiGjs1fEXudoM4rvbz5CtBZnozBRgGZNJSOGLKuc0fDVGlCf8AiH98h
UxTHFozmEbExBZBht8Y+RmOOXqIp5VWfhqCj+BOYobtdxpTi6nXSfBpLMz4Xi2k+c/BXd6MtEqhD
LYtZvWuJuM9K0R6UjioH802jfJr/hquPjNfFImZuB+iHSVi9mMln1+a8AOcy5y/wOEhDkxXDzLm6
z9qaYGFlfYs8XXzREWUmAZEq0deoSMtnypCPmSeBgOXdgzn2z8iRpmDaBl7jOofDujQHBLL9RSmd
x1Uy+HLtagqVtlbstlMndBssDYBr9f1UDzxFjAeDeMnXe1aaEPz0AmgbW2bGZvlmRCKI1TdtUg3K
2kEnlDW3Luoyv2kV/LpkeJkWGHe62X1Ijbb1uxQqDDgf+3YdYvywWt9+smI4ZvhLnfko5Gi1Ppow
1LCSxiaOnpPE804uWhz2vDCI3fGi0izjwFPZeTGd7ynl/05k5YCbOtU5CRSaDRbl6EKKksukX3Mc
AYNRXUmuv0eMcW/H6IsSx1U++huwu4P5Di+bh1Gm4kaV1MZdtopLj9Tn82TH8T6qvU/eYLih3RD/
Q5VkkY9eUIR5Au9sGRXZSU2mEXLr0hqb55Sq6SUrkD2ZBo9f5RB4MCpXC2nsZkIGiochtQGqs5g6
OO1wNSjUe3cA77wylcRNvPYn+J3a7bS5gPg8npPG5uWw5gQWy+odBt0JzxNZwqAncZo2PmrVO21t
9SubXFIHUMufDZcMTCPPPSZDdo73Rj0aJnS4qMPY5cyzcTYj5CZwMi/Ye550vkQ7Xc6HbnLQUg7F
M+nKtwu2K6BDjQUHOQMzs+ZEs/lyhDSPrHrARlqzTAIzwFsfvIkzeXby+uLVYkiYAnQWD/OMGc6w
OZDBLzcvi6fZX2F3M7Ws4TRTWKx8vEjn0WlPwYJCMaGlzoGCcSzeDEkf3eN4XLeARZctPMk6OYpP
GdsPdp95ZCB7n+3MuBQqvmJIJ89Hoo/pFvHgURdhrh/9jrCXtOxelzF7k3DKd03fYCsGdqrlD1E/
JcHKguWpQwLjm9imHwU2sguwKUIYYzt5lQD0QhbqlDSqrwO4viQ+GA5xtI21d9xGO5YENcTjg2LX
dBOjhoZStM6fS7BWkV+AWL9aQ8fsZZR8A+JKXo3RZC8GAItU1GY4x5PlEojdnQgFqFGUgOE6Eg1N
NZhSLaCMWrhOoDJVvi4tnZGjDVmphXa6cwB2vOptsmnnxkaeyCyrvmCsRRDQjGZ95T+anSt3eRlc
RlSFZh5qzrcbbykwvmlQ0t/XnMKM+3B+SOd1OsVNBWrN6wb9jcgfDVdUKa4rj/KrqorJV8zYsYiN
SX/HuYCFEKtP8clW3vSeOAN9HUMDb2IplOdyvfSVTLHSptb4KkH43E2a4mtMvicu4TSbk1vE7dkC
lTWlzCwa4T3j3upPiapXjivYlx9n3ZEvY2Ik1RGUnrypYlnjhVSWVVMNwnaMJYIJXxToB3drXM5w
tdzUajA+OekLugUEvxqXpA8ZLD3QUVuhg4GF+My6Mfl3Eej5Xj5Pb5lTvaMU13wg3u+05aij2hTQ
rd6a7wUFHwu3lYHVTssYifSj7l4mc0g5KWr+F4yI4G4WYEyUlLp8A8HDd4k/1vsbTdj9F1GYqeP3
ZlQfmnGSMONEfVgnyz65UWzfsGVVt2NXk+Y8sRPu7Hk4NGkhH0bb4kRLnJgHBRu8eRgTW2yuU8Js
2G74GJq8bdKFp6oXE9mPciSPQJm+Y2RpqCP3spXFGrKIwEAQKaOR+pMVN4Nmqycma8mhrUvMdZNH
9oHWlgNpJvbGEAdYEAeOrYCKGZH8UkMpnvZWobfnXivKF3PwMNAylQ0dVYi7Al1V7zuRS37pjN1U
tDZVpWX4uogdLj6VHtgoHlFIVljg3M9VoscHl7jrex58woU1bzzVZm3eYVz47GGkR9hOTbsb5+mj
1YCD66243efWej+CpgnMpvR2o76i5knMxbeHcg3a5a1JcfliExdmfctGsObvI+UEZAm0Lu+OXuqu
r9WU6MgYUfGN2TgD7jGI1Ci6s6gkXYezdiFdYHLoBcQBPFCc9aP9CWBEspB5gZBb96buJgPQsFeM
wB6tPMLon1XSembZtB7QTkcPpC2nhwEb2scInABpQdLPvQgiRteVrxUmZL/OoRI6npc+jLMnjpO0
i9InxwIMMFsUe/VB6HugO6OJriPPsudk1IdHXGlluTfLNMYtbOrpBQQzJUGMoDrAR0yfBvcpWoV6
UktuhKkcgbkrjwYN2jQbxBMSeFanApHPdlM7NB57ZwP7NQgCdg1y/lc1NuRyjf3CNGXCfbZqRpCl
87SvZfNMZ0aVMljd0QVTfJPN2XQoF/JCltz8xP4tulCIZNeCahLVLA3NgoMZAzxH7ZThZQMhMN2g
opMfHCyeZazPhywVC5TAwQnzpukuzWqk+K56/TGZzenIkoEx59DMCOSpWtrjUM3RUzIpm/T3lreS
sRR02sq6sJrGs5m7FvWBtTQ3RjRKn+0a7qJ6dUxkFI27XqtVOd+XpSqLI9sXekC2buo8d7h7CRPk
6WGW+hyv1ngnxuZei9egYpp306rBPlmFQ9qobsuauOyYYVyrw7APWKuMB5h1uU/m5vd2tg3iBW1W
Kk4txq8F0oHDoBVRKGJ8cUBcG/OIINW4QAAOC+yon/MJGc/em7QZyKys0lc+309wUrOjYojA1cVe
Hbi7QdumosDO+jfdyhIw/inImNlIiNWwGNMx3GF/pweWJbQRGeFo7+fcZqXYYbJfVjSRbluNH4dF
LPfZwv3YtE62GxIaA3yaF6eS4IIb8Kk5/NeZ+r9dkvRxaDEKEgPQizu0maAOa/2eXcMhhcWxI6Xk
xShk/nXVyhTaZed8ZQPnXeVIyPeYiWZHv40w0jXnDr1gahTAXrT6TWMhe1cbbYdguzJ4Kgwt0HPR
fJo9MIGYf6bcxBpoMwqmZnhnBkrnYbbiLiZPZ48wCNSBCzyLxb861QQ0kpOkLP0Sl6TnqAwR56SB
F8QO9DHqVPfJS6g3fLue9AvTZ26bKZOADxlW0iZYM/DE2chCNDukzNVj+4HB0EcoK19m5RVc43b3
IsykOKUtUTQ7rtP0zaD//DAsaPI4hfQFMCt1Or1GTzeFATkn4x1TqAfpHhF99eAuWNKiyrXvhrJ0
9mZTzOFa5QSOM+kbDkYf1xZYnBlNxowQk6y1edD8pRD+7w1OzljisDrdAxsvUOppTYJ4FvcqdDXT
Y5WhuUetVeZDbenT1dHYvA6cR4+IPDR/ZdKPEVSp+0LGVmgOQ/yWDJV4wSmRo3XYgEMCffdO06zp
2I/bfBwkuwEyZmbupHely8JrgFaAFaFOSZbYOTE3QYqNoNxNqOABAcUB6n8TCA/8n6EyEflUq43Z
vnadLLDhv+xdp/9OoP0QEN3eYsHMkDN0ebHuTYFHjdm+n+oGfB9OU0gMS3nVCvNeErp96O1aAlVZ
nVtcnxB2UqW+TIVoYei6s/uAdhE0OKEw3q2eGuUjS1rvydQsdc8Ce0OyJdVFW2z2aljoz1nnYDKJ
42L0BQk2TxZok9MihreeOfSWkQSoQmzxEihpuiNXKXoX7D13o1k+IsHLr4qaK8y8XgTW7L6SZ5AE
PWYYSklXZS8tep37Gf6U2umjlb2qFlr/TnNXxE3p1PiNWG86Hgi/guMO1mVxTn2SH5NyTs6yJFmg
jFz3nEmkslFeBqMoXYIElurELGPyV8wffCPUfDYahDNr1jHf7BwHrgv65zdwd6g+IBB+0Gzx6HbR
i6ea+T7pYvIlIro4bOVxUM4yCUqVPSTsCUlZGUJgQ3x/PG+5LBlAevKCq1ssSJ1PxPlJUM4+VE7K
3IAm6uotJWAemidx0zgeME9jfnd7wiD15RLHLIxcTZ6rtmRpA5FnDLNI6W9J1wJxIa7gKC2rfDGw
waa7gZ30qcqqs1Hb44WZAJoQS6ogNcz2FZboeuNimd3RJrc4s1hUk+Jo4+5Ar9T6rT0XhxgySkh0
JbIOJKh+qbfNYYbrW3J9LZC+m5i9bGLpxQPH9FRsK3m15+aoD+wk9ctoTt8a4uuOTR/LEJgyoz3I
oM0t55b00X8tZ/QEMCK9GKTBEKtbsgbn0Bvd9RGJZbFf04iRlGdUjy3FxeM8LOY+Js/3I0EsWLOS
UU0XVUIugPDvfreViF4nwDm7ZKUpZSINyIVv/oqnKZXeB+i/S4BvmalBUmvYUk2M/5VMTtks61OZ
OOaDkdrprah6BuVrgs/Am8Vwz2wgeS/w5YEYahClCwaRyB0M+7LYvUUCxqw4z9aeqaGSgH0Wj9yY
XBXotlL2CdLy3tvIs84UKvE7Q0JqiGwbRYk2e0hpwksagRHP0/C2jYI+6OBpsR7U+vBxjWzzlelG
+hF92nrHbEPsYy/S9mvnZd8SzTIeMa+yOYjq4pnEwGTPWoD2fksrEF7jPEkdmEQytjihQFU8TjHr
cyL+COQckiz/Xhtieqq4XlnMLNFd67WSzBkAU2E5YLrRsig6j6UQByzxbBUIstDvi2KZPzJmsW9Y
WRV7t3ZHPM6z1d+xMbCeypEGXKuX/IlwrS9Z35H21nF/jkV0xjaA6UDI7i5ulfFZVhNjxZzvzK5C
Q82dmGoIg4AoDe1qnkhYI2jJ1vDJrayLd+Y8dgFE0+awdgwymswjHtgzje9m5kYXFDpNtWs0LDzY
j8bk3qY4OLCMI0Cz5nsIFq3ksaXVp3VmWsA2ynyc6z56zDyv3hOR0DxXUfrE7UrNI+mluX5F2JWO
wy4tyS99XqgXe06AiA7kh1paMbCzpqwNqJHzDx4GQ4bRWpS8TYQIZBsDd2bswHx7RVfDEZVq+cHR
hYXdwV4/V01qH92E7V0/lML3aDl9L8O9xnZneWIaNoRSOpu6b5u9N/rYf0dcs/huHcuntTXWEw51
Mp/Npd/RdHnnJp9tZhpsYviqtrvBKmfGJz2wJPaqOC2Q5aU8lmywS3U7pcMDFrIBZdwwHUbCBA+o
yag541Q7VqxunvoJv0o89TLULcx4fu8as6SpxOSxajZOs26tYEfxO7CtXhzSwq5P9TRHt102dnfQ
rXM8O/z8MVwHZvkOgclMH79x4Gg3U7TgabULzdV2sig4g/4vWrEsy8xigfY/S4No6w3HXUck2ETF
xwLkAysUJMMvdsH+Q6K+up+qKPuUe/10KwVLF+a0iGFJGC44kbLqj5To/26U5v8kSKYOwPFXSvin
NM/T8k90zD/+yr8k8O5vnul6TNqRu6OF2fTsf9AxXfc3jhUgxv9P5/4vAbzp/maY/IubMt6Q8nfB
+L8k8Kbzm+54pk54i6XDQhfuf0kD/2eIrO1JS/BTISUErqe7ljT+jKikTdSJBzXN0GI4f163GTLu
4RuLaffZUXQBSbtuCt++xtATq5d0zsn1Myp2EfqQBAbVx640J/c9S3ojiIbGeazA5p9qrRluSgfh
2w+/2b+hakInbf4N8/zrz7sp6X9QykvKpyFlOxZ6hPeGoMRJF6IQRw0WBXoDRsRsPf3GA3dw/PUL
C+ufflU/QYcbeDBN19AhkuuBtVoN2W2ObeWwtqomk1urg9UrwAoYjECZKN+piZgiu/VKoABe7LM6
6MJlrUjq0eZyV292SKdL7ohbh/3Y8NuzhdqSi2JQ+ug9GBmgNkFfHPZr+thM2b4r0hdSsySaEtAw
uMoLF/UjxoE1WFAX3tdJWR+ToRyfJvZGJC5hveIsTvdFY5ZnInrqG4rI9Kar1vljMs4DKoimvtIK
YTouV7Ivm4GIIfBiCMOKKj5qAxdL5ZGzFTOMfbHmWp0c0EXHArP4LlJxesic8T3rvH7gHjZHhh5M
yZMKZe0KxJrGoE33HYy1Y20yI7Wju3GZH9qs6U79HMyF9mb1lXcZCghWS+Z96NFyHyVb8G6B1bgk
tnnN1viG5Tko09jB9kZy2IbXoEsiYXBync9DSfohJ2G1M73sjJWf5f603CmCMA49fcV+1COB3E8M
ZzTg6hCNEQDrIr2tmU0cVKeHuKCfC0udo3WJ4PI3bFQQt2gEqGTt2WbetIsFurwstxT2NPiI6co0
oCZwdm/OdKyI4rjXF73e88ZYZafQP2Vn659YHcd7O54ZfkpjWIgcTh/m0RNnvjWsCsdLtHhswlxz
OuDsf1aTNj2okvQ6VaLkb+zxgJ69CXUwaEBf5z2JbB7lJ58JsTOos8dY7Cfysa9egowlz4x979rR
CQ2HfgSGEZ0sSHW+y5YPRwDytyzFD+6NDKYmBXgLYtx54/dprPX8KSmx7HYCHAV4qHTgaVaSxCL8
vdgdXQ80ZA4LHPYHjM0Uw7A+lV8sp3oe0BN0HjFMLbUx8MVnXfeC3mbwbqIMDeSMMxMMbmgLskpz
FGp+5TCTK0x3yxRogpnstHHykMrxaUICiI62fEWgm/udWNxdIpsiIOov29aQhD0XWYCfjawXx2UX
VsyPoOT0ixZbfNVmxQiNtnRXN4NzWUDpPmWCdn5hCo+WjzqLmj53CTsqlwRVw5jd2kSs7pDGm/SC
4+APma6CRTOP2twdpalhR7PjR2BumO9LD9wcMoDSfUxd1kvtop4HxdirSf1hSG6n1sAEINdgRu+k
+te1aO9+r2ocfXxMmPi8mEiuDgbLjArBZZ4CqLTjjh4MU05ZPfdat0dZcWiT8p0Q2/2wEv1YOMbk
tyYo815Yt4CxkqMB0y3NWsbj3lnrDFiW8TmLKvOmtFvAGtECpTLGE4msUdT9F8M0GPhBe3tS/XLo
zcJ81HrmnTQZ2IS8Sb1PZkyLWHVIUU3k55+TIuWfeVsntfaSj8qzEG+No9hFxHoeiB6IMQNsJVUL
+QIBcXUyc2gpDerGoCtzjP8RgpliwoGa4bIN0QEnZ8G5uEkPX0pmqT6n33xZ9Hl87oiHOqyDBW0F
MeBxTow+LAonZXRbOdv6SOknrx27xzYqx/t5RGNBY8KYlMiLsMgQLU1Yzf2hgDZpt9FdsyznzhTL
ng75eamy4ZxHA/dDbr2OIFX2XYM6pVgQxXVbRJZmNt0tbd3o6y6bBIKpwDhALiYrnozkjf1xihkq
73Cg6ERypmzidXAhXo3svqy0sxOtnHeZRSC5C+uetNLAdGyyAmZnRSRdf2cLHOJRHo7SRlWrkSIc
9l76UWiEDlpp9OCkzCcNcKcHhROH3KENs6tlxqlssup27eTjr++xPzOpf79AXVea0nCEsSXA/RSc
YKA0NBiPGyGufJyopR2W2bob00Refv1CP9nr/vpKP5UW+aAYrJuxCCcCNkIr8r4Zaz/tkAJAIMrt
L7ZJfICSZDx528nbOHP9D86639HeP1ULeFipcaQB19lztmrih2qB5dWcVf1qhJxWxLYia9V8MbIm
cgvHCbTO0QLyKeFgrc0QEifW3sLZoytmAXFBHdxemH11zEnrNzvNuod8TjxilTpOeVA91a0kTQmJ
kZ4G2QTMlsyiKjSV6kGiLhyClX7uWt0NnSaG2OsAaR3AZJRdyaCIoyUeis+//pX/3Wf749vdKpgf
3m5mFYUJm8AI8VZEj32nBAkIeBhLItH/gW6+hQv85Tfr6MSt8H8EcWx//sNLGbMWlUOumOuPzncc
yC2pRNYnAQ4m6GTz9uv3JbZH5VevtiHef3g1LY1wctWZGULbJeJHig+iTEbGEfFXI+22GUw+sIwh
JsAdTGKSNfC3Zt5gZCEd5MbLGP7wSYL4HI6F3apD1o/DZrEXPgamMkjRumz2fxBmQyYDc6mrez1L
6JJzjOoFTOnABIO6Yw+DV4uipN3KE4s65dfv88+k+t+/MVT8GGwc08X9av3Ei89LRica9wh6Jhn7
pMMRECYwtpeerd2nk7btoNoi/4eP8u++qH962Z9qapPRbAeFmEWeJflqdJvmBljZ3EX5Lu10jRxv
dQtboLsHn1LvnZn53a/f+N/+CBxKkH0N8gAt76cvKnALBSE3NUKRMkzquRIhBrFdt0krGxidFY19
J12QZpmwP3Hqt3+YvElpiL/Vf9NW/M3jjEH536//0zeHvVdfGxUz6aEYP6FkU7cDYDmid20ebC3+
I27i//tqW6fw0+PMO9Xl5nBG4Cx/ercowMizql09hFaVXY0ZqmtKv7//9S/1b06DP73KT+8Jo5KY
CDmyGFEpYzfzBnf9pooosWz+119peyu66Uq61b8cBo03VutqEz8UzTOkF+MDeNjT5ub/9ev87WPy
4wv9dA7Qf4wDgySL26RxvqXzcJeh/D8yB412jMbFUx6TYIDKlfK43QplEI/NzT/8EH/tAy1dJ9zF
dXXT8+jd/3wYRYmaW3IxRYimuAnXuZueG9MyTmmqRNgI9VI33iZ2Y9ecTgvlW5y0vtMSj+yU2meI
ydhYa40Tk+qCiJa4/GAT73BvpOZr1oGp/vWPK/76sFlsKyQwK337ieVPjwG+2DwqAVWGTTxeqgWp
nZHg5q1XoskZxt4oz1b7ZtTDsU8UpmpCk2hCtQObB8p3WRV7CJwi6IgMoEyN9lltBGVDT4MKboEp
1X5vmjk+6W1JCcfQznBgaaYlHDzSDrdA4HTYNyuaMIaB7W4qvplsV3bL3Ja+bk/Wte/7P0qc/+4R
1P+6NBcAC3whfkFs6PvPfxpT/fEX/phSeTazKGGyuwBBYINK4Tn515TK+41JFP9tGwO5Zf7+J/85
p3J+g+wjgWzY/GXDFZyr/zmnshhhbY+dbThSCoevye85Of8+j/uf/vn//BCmYhvb3ffvM5Mrgb6R
V0K/6DkWr7Wddj+UAHXizDTCvQijBNzHjjyJxNiPRiQAdtU4gpn3rsW9m0ZJgpVQuJWPf2agTxiy
DeU+OLD0Oqk7HTElg3GoXB1GlyjlCLpHGyO+EIsFocDrpr1pGNa3xdictBrrprMli5FgCkQ3vuVN
6cmu4n0G3uveSivzwUP+RIjjYqOC0CrAuF566uMI84RpPblW0/v8Bpej3tD/1LgdbzCkHXoCGDNr
zuhSxJlYQ99pIK4xflt9PKTMMrbJ+dq59cFB6RhY+YgtXDIVqlvvJoo143bS+vhorcmnykjTy2IW
+Frx4OHU7b1DLcVXJv7Sn6f+HbuiiyULNutAWgm452g5YZgbHlbPm885PLGvXgshslgMwsaN4bOj
NDek7oNpOoLkmT1e003tb9HkGLdDq76uIw4GXS3ssTLt1maQVWfrFwQjJw3g8FBGH2gNL8g4rhY7
V5jx59ICns+oMUEgob1btTsfIiW+EmV47C2IDrm9kD9ACBlstOeYiRNAdOB3MscTV3KcI17PPhSJ
VPvBcd7sTL9mneHCeQzmfu78dFTtniwNN3BHDT7q3HcMAo1zWdYLzlzrCNKA7Xgx3MMsRTG/Agna
W8A1wrmxviyzhjGJic0DyGPzbhm3+EHyWj6VvYmRvLan+N2MiKVNkPnf56Ng8m/M1nvXjdqxGFv3
rgT5fMFbv3zvvGHaQT0TLW2DIoejKedrl+R3utGk361uxseyNESAxFq8K/uauX5aDF+bfGTV7eIy
ar1zjmPPN2KDVc6qdeKOrXLETsC9z2vHC2Z7fXST+iF3toZ0duDRpvN/sHcuu5Ub6ZZ+lcIZ9IxG
kAwGSXSfHuz7TXelUqkJoZSUvF+D96fvj7ILx86qsruAM2mgR4Zhp5Ta2jv4x/rX+tbR6TOae+qW
54dIA+uWSH/NDDW9wcgbd56RvYAT7q+0q46MkTMlirRV3rtuB82ByBylbR4OM0XgMKkGjO/2vC5l
MZ3b1L3hzujct6HW5sV1g8THJVyY9aaYjJgsgUxzOm5yltRrSOohqR2fGZsiW37YTVbJhWGpOlZQ
eHLzbCvnIMdIGyeKH5hqyvvG80DoJXausQVzGUb0ULMQ666v8ZpVmMbCLUrmFJIDi2i0d80ycFHw
ggFXemLiNQFWxJOLYlDs2oaM8/bQgcduwdUDn+QiL+PqK3HUJsYOXgBUAinvLdYBsVDPeq9gLxLh
9YCAQWLmTON6Nuw8AoAmeLamoT7Gqll7pk5mlD+qlLYFvi+W5h3gucxfh1gnFZu0oIDQHvheuAVb
ho0t7AW6Z2SriToEBy/OtsUlFe2C3PD0e2mhuK1LpmGCFCXFt0SNfOeF+/L0tRj4xPhtgtE0bLxp
kwRmXK/gokTlgRQgg4TVQ0ReswOFzOWUGUga9n68WG5qkDqSW9CW4SIV8wlpyYZYUBpJBxb5g4a4
8TEEdSnJ2YAOIVQVm+mtKpMcFaaThbfNoY6G11Fa8NvHvBTtw34kY20RMqZvU3mzvZlCrBr7vItc
80g2ts3e6sbo4p3vpuSvrByC1Er2Jrs7340JS3bRvV/MYovdmG/YVemG4EbPD1pFbnecgrFxVjV5
gQxEuzIs64V+huiqAOHyOhQllYlZNNZXXakBP0TenBzzkcWgh33QATOMDUo/Jq37GLXjs1ckIzfv
evpGh06NJTzK7uzEXBSOELRJUbQPEhzzru+19y20apagdivnF1PM74PqSOCKrngKjGaphKZMGyIY
DcjtWfF1IaTBLAfyTzi7zy9t06f23jcCXlHinktqdUAsBeFW30xNBn0/GoNuHw5Va21KF8Pu1iqK
bDhzaj/1rRzdnQId9wDFMbPvg6wG3YUsgfMWvgm7z4Juhwnj6wjCmdzsIZPwRnoBV+QBWRAyusIG
uxriXEcbr5HxY1OSOnlhc902lBVjH2RFGGu1YgBdmXRWH9i/fx/xBMLe571srjyM5wTrq3lnBnop
v9L9bdtO8Y00sOH39jheeXZ3N6WdPAaRSu48Vvu4J1hoGrNwMYFl4zfqL6q7yhB+zMDn+48astnd
FDR5dtv7Zfm9sB3n0KXzcAwQYQzC017+qoLYvDNwaWF5bf2bERWfTayZeN9DFrNfs5iMP2wVB4RM
Y3dByi3Q9n542VxfqqkbfgQsP0FwQgnOEE5rtq6uAfrBslUUbV1KP7MfsadIxcP0Ftdp3yuojab6
miOt7eM+pk0CVVNlFxOMA6fCFG2Nwm8ey7CuQu6fQ/FhuV75owcd8DzUFkJ1LRF/lENR7woPEq6R
eMQvYZR49MNMG/kVuRb5SHS1zi9FNXopylApFSkNg92ND/ns2S1Dm+4P7Y/7pApKi+1CCobPaPo7
lVpI52WRXQrUdRMLYeB+yRrTeZk7niDxxKnK/WEKnxVw2jtrNENIN1NGjGgii+UhOh4C3JtbM3RM
sq9We+yllYIUllhunG5Yur9SEIo7D99nTfh0ktB8/Fl/GbmoXWPYwZ43hhpDlKLjl5ShAQ9i8TAv
VRV9DXi+ERCgMLpO2RbcYHnS7dhZu9m2tXPXoIA95zrkTVeGob0kfvsA2YTOi+TkF42NqT7g8kZg
mjZdVuWC518dEvW4w3JoTDcshyLrDu4ubk+kHpbtBs5ND81l6Y6p2PWH1MBlYbrKjXSgZsbDTrIP
G98JL3FBIe6axVR/ZxKWCk+ymh1xGZJkJuoBdtnDQ1Pe++VYgchJjKm7D+rYqZ4CgBEjlAVCSQmr
Qx+2R5HykfcJeUALANqSAijbD23tPwZjru4SJhfsPQHnviLshmIy2wff8dgMWbF14HmW39gzthA8
Zt4e2hHedTqoyBYker7oQHrtqkBGOsdk+ut1Rehm4A3RN2+jp8CJEl5jfLDFtZ7g3MVNcC/4wK8b
HQfbVuHm01Dxnj2zq8/wncMvia4hU+qBGL2oVPgonRDaENNNwW+YbR14vrq6YKWh0gW4f+If8MZ7
/FqrFvErIMvV3lIVJG48KAnkoSObLV871vsspvMHHhYFhgT0lUpJLib50fAC+8tk9jG/ZhYN4daf
uu5htKk3OJq0iZ4iaw7fecxxWAbNgPesHyI7PGSxCLYm94/XymSRgnyW3c6yvK1dc9xrckwQnVno
sZl0LhAXvE3ROed6dnBYWu1jqGJqe+MigJjpzK88MJKH0LWy96qr+n2d1ma9G2wjJUTV0BPBVaZ+
D0N6VsrSCY5hJoZD1uc8oKoxcskzxA27MsFGZcc+ajErESxt9oQpwuDKieBK6XLAzDiMYEBSgtPr
up3Kt0pPbyxeMYe1ZpwDC+OyDbLZzvxgg4sq+cuO47+48fwksVJgX4gSxMhRUkHfrmxHNyeA1snj
7+6A/0T6+qM+8OvFig5O2mEs5brIUX+8WPVzXpRBYAxHd2wISkDqSECL19L9CyFiEbX+eIFbfr8m
bZ+CGyH3uT9+H9M3rJZcTXecu6J7TZYnvFqaulbh5GXRejTS+CODWAwXts3ZDv75T2n9UeFbfkxM
FtRboi263G5//jHjIUzZmVMBJJu42hEwah8sL1c74G8zb1Kd3Xk1WTjKQaZv6VTix2Ga6IX/ODNd
4H9gzKAKPFsGj0Ix98/j7ciG/qjsGv+PECEM72RusS8aQ5zd6KbhqCpZEOC/ikqW1v5fiIj/+ANx
ExbAmPnJPAuA4R9fz5nYtJuVXXWcY60J74D7rrBds9bbdrSj8IwPM88+/vnL+I/f1BYK1Z9yJMRX
V/z0nmyAZMkeKxHfNJwvNhv5NG8xuYWn2J3qf2udsfzK+GamWDQ2vpKUiyTwuyt/6NtWkXl5exzm
2Ng6jfVOm/YuF2P7Fz/VP34E8NEwhuDzQeQAzPvHb2Tlmhqcmj1mTF6yvZFmFfDgBN3cHf785TP/
yetHFS63SMZEi4T8T780ekpk4sxOBncfV2TUMVIE3RiFgJ59u9uklm3pvY8PzueRN+iblIWnvIUi
RYkII1/3Of1VJmkYAlzBfBg/50M2mcyKf/5X/YfXxDQt3lr0AlFl4TrYjP744hsybJvSi49pFAn3
WHldezuWI5elf/v72HzsHcdflCTb/+m1V3Wk6zDsomMRcBnYNMQjYkpFsuz0+X3+vyj4OFUf//kf
r+85pXuxbpv4rf29FY36ZJuj9l+rgoc4f32LXrN/SnL99Q//qhC6/i8CX5vt4kiSnpD/pRC6zi9L
FzvLQMRDDAzLf/lNIbTtXyyC0LZwIZxa1udu4DeFkAJom8+b54OAZeO1/KefFME/UwgZ5XlH/tcD
Bjcc5c6+icUOjRAeo/xJl7fcbK4G7rtU9VJ4DtgdAqr2uZFVtFK+ydZutomI/Kehdry9WjxYuE3a
jTskwZEQvvUucGoe0h5IKjLdTZf7+V5i730BXkKSeFYVQZA2rd/qFp+Zr2u9zoYpvCZiPt57lNTu
yq74vGq1zbtPk/F+jLR7XxlOPGwjUcm3gJy4XFFSGO24wO8mv7uCFJKdAYlSkDWo9ljPITAA6FzU
PEMYqnzQi5BvKj/snsFe+O8p7Qj2Koro42iMoNvZhcmVIkuy8T2MZfACVLE7zTqxNo4a2/0MYOrA
wxgVzBLFXo81vQ5WRuAy9m6grw7bCTzKoYyESWatU6uhloKdrp5vBwXA0k+4HaxyRAzSmgVGgTmI
qy89rJ6PuAY+1ArDPuGeeJy18L+Sj/JubbeW4ModhFJLlYENY5+gEayGpnG3QaSh+E150hMoncZ1
W1rps+4mcaKytD0VqfXWsOu9CtI4vsQRKIrY9fRDRmoL+78mIxrMAkNW6sZg3cCfWkHonWt6ey4h
Hv3v1UgJwGrUjvEDGD4OxAmLHIvj/IpfOD+ngzoX0A4dOkJeDw5wgI3rOZSnlFm2DYT3Y5T0CStF
ZycGlj7HILWMpZn9NuS0t0Lthi3LuBisecNLXiijeJC5ldCZG/jglDrxTLyep7HKau4FfbmputS8
sqNIH7gh1JvB9vnRw4WsFbbOqu+dvmLpYidnxwievAYElEN0hBBD1q56XRE4myP7GzVY6aGzPJik
0s0XgCl52cajaEkRB8DKMuTkKjQpK6xM1qCabe5EHxYvCYuxonKuTUp8j0iVhLMDcaFKJ78M5ey/
O5UMv4y9GXarwc6fptHKTl4EsG4AMQmghR6si9cboLUrYd3p2qbB2vCpEQG+j89RNl1FHYS+8Rck
o9mF1a6rEut6tsFYJQMFU9GYddFKWbxrY+oyv2SYW+sNpN95Z+S8Zn5iCpwYBQ0JTlSeDc+r7kHC
uWcSJh4l42Dx7TF5r+VC19JUieLmekorAhJp7vQUDYRnp5moCHfSaE/AufhiwiS+jvjp2jWlApCZ
AoJpqzpKwmsSY+GtPZty00Y2mf7JnIlZFQPeHm0P/coJBD1iZMDWLrfCN29Otb/2HaPGUdHIHYEx
j7h8igWhfNPmCOaKXj9DDBtLtMauKYervMeg5NUoD75Qj1FtbHCKWAA7F73TipSx+d1Z/U+m95+s
EZ+nHskPzmmTNQyHMEfv74ckYI/4ZjTHAe5Aio97p0TcrQCERrwdi+oyAj1bDznrA108Z8Rjo21Z
N821JNxIlA/Y/7mdexQVDBX0FRQUJPcLIJFrenpBryieyzprdpTbxvYWfITMt23bQJtqCcXfU2/C
5zn9/GzbZH7lseBzoY56ORcGZ2JjMfS2LLYkmNOXP//RgZz+dOIv+yq5zFOOKxkUxU8n/mS0eJrT
UOxNJ3zwM1oK8tR+MLzxBX0hWVGg0a0dsMoXt+mA6bI9QtjFrs+7oamwpxqh05hbZ45ImkxzgCpj
0SfUJFn/ATIifIQDOR3dejjIMTvWNkbftdU1L55udyVBoj07oBOGOo+igPitxgYMdNnMb0d4PEfm
2nqDQIOSa+roZBGqIMGQ9gSHG9DSRd/Yai1S0YJPSSHnD/ASewVyx/HHHCzE4L9waS9epl5QJKuI
0Vso+Nc0TNbXWQgQKBrMfF+2g/uMgBQc6eQMbqc87u/5V3fXzF38nJg2JMp+mDe+33rbOVfOfoC5
vy/VYNNtOkxHahZbNDnAx7uQ5ouHiQtmvxrmUK/5aw9rO0mjXSp9c89tXkHqICaXYQVteQZ1eHtp
931qcZsR+fWrp8SGGFdnhfyhhB9ull7wM9kqWoGoDThXThaqdUeJyZPROtYNZSTGg63pWqT7O+TZ
4onyA+7o+KSMUj05LjYc+NHNrUdC/yTmHHuIKaNLUIvmYPXymEM+aPuIBgIaU0m96bElIW2Od9Yw
DHfjkNNuTR8fVd2ZSaGKBESUTR20KOoPHjoLEUdYMxo91PDvsrKDxzKQdD0E2Rd8QIBj29khwN/q
OX/JRTVczbYFsqVpYdpFejwXyFeXHLrIzlNZfGHLx9qpwXS3a8xkAraVe9FaNH11cSvqWbQxVHfK
HdyabvpwOji5yjZ41woqXNhl+FQ43nZDVF6pkVK2iGTLKg/t6kTyFjzIcopkdcC44h5RfqEN0CFk
IQVTIlkPNN0b4XQ1amXsyYOjKfGYWE8cVfSYe9tQcXoFyzlmh2ZEoMUwfnjLCdcvZ13WIGYMjYVm
DxSyoItlP38ejN3nIclJIaEvcXI2yxnqNRHnTBZbMwdBJOhUXs5bioyKL+NyBjcWXupiKDlzK4sc
PG0rAOSGiRMdlP59T4X3eRZm9+LgdtqUixEvNRprl38+GJLlGUHSmA1ZZmIyIKszXtfcm4wD/RgF
VtvPR5Dwq6XNjpasgf6U2n3EmOTc6CqTwQZag/8eNzi+V15pps5eC6850U9RYX/lOdlBU9kkn0/Q
ogq970OVODwqeE9jE6Uh5Eysq+cMhbd2KANExgAYS7xpPh/prFf5xYKJiTao0z2oxtqF9KD5Fbmf
U8O0DBAGk8S8jBRYMRkuUjUAjepcZxMtc4dgfAx8TCHgrCHxBJnnbWEsjec8w3YF1388Bg7RQeKD
+b5i9Nn0Xp4ck66zWrzYEdz23pfrYqStmvRUml45lk6OdluyXGap+ZWKHXnNste7LyYzyOk6iihe
jhr/gzCHdYtH2nnrs66/jfUUfzGoQHgISJrqTSg699iGoNxBOlBcmwsZ34DyHgD/wGW7VobdHRog
e1fMdBOJbzSlRcK3nNucVdGpCqr8usXOjV1/cJvvY9M/C1UBuPeMKVqnwCh2xErNvTf20aMb8oMn
3BqOjUF1E+tV1bP89VCAK4zH4GWlcevMpX10wUY85EmpblEvHaIRPLpMUNyPFREuyrMFNGpqrAEl
0upCV2LU48MNzarDvDwm+kpVrOwVSDpghbH4DnO9e7PLgkaYdkY3YSAN7d0wIBqvlApdMCKQ/b5O
bkx1XsIrjgdQxSdXVel5aDzj5Nf9gG92HE+Ja8BVRVHkwl6r8C7GxPzNHL3bGf3o0c5YC42Yfagy
C+ITaUtNqg475V00WekLZjYa2YVw7JXd5O330AFRVnWt3gpXZlu/TIM9/8t3gRC85W/kYN4q1Nmq
fN78httmPMpFfGfUS8jZzkrNopEpcMEKy9sFQh+w9Fs7KsEcUallSf8hcJ5SBlTSn8CZaBubSiTl
zovbersoFs+lTuWpn3RHOUM88Dq4HaUzIH7KxKWo2ooIjQ4LesJjYN9CsoHx76uTL+SPfPC/TyOc
Kh5gGRekoCyObuN4fNqJDq3o8ArvQZpMe04eBusgFU8JxDPgn/mTKSvrWdZmd6D0tfoK5jb5GmjR
fKR83jc+6vmhb+eXwhdPtoJGu0oSRx0purmy1HCT+KDusU/T6QdybgvOYs75WC2hJdFD3qPqj2aH
c1PJ6uipluduAFTdtzP7MLfUQ5owAL7FBu9TMUvrPA5Gh/yigjerwTsQKi8ZYPYtY/1cUNozjN28
HiP53nVRsPdlbewUJPFL3OTxuZpY4Z67wijvSWRaj3Cd6DiNy7H96FOab9d2qr0LrZWcNn1oJw9E
7RVk7SXgnoAw2bmwI/dNaTuMxhXbYSOgI2jj+o3iq8LTzOIeurhbNbRiFkBwPRJYNE8GRxZryXlh
ei6EpuqzNYF1O9eRm1Tp6FA07rwFOKn3VTCPXJxsmxRmOh1H37dIX/P96St3n3MmwRhY/ORf0ZUw
7ZwKNoxtdu5LVMcmReJxsgrAO3dQwyc+tc0kFNdQNuirqtSkw/U3P+iuZlf8WGpotr0ZmK9tb7g3
fg2fxq0eNSFH4iFEIu8tyPc5sfZ4fk/smY9B5D3lbcFQ3fFsn63C3Ax9M+w9UUMYjuxxLxbCNHwe
8UQMGrwqCckI/CUclLgEghZKi22kG+QWtCef93fGxv8ReWJ+VGwLqnUq8PojUF9EGlXYTPiZb7OC
CuWEKzu4OPA3tgwtUChxqzYSuFKx913feHB4VN/aZjH8kOn3QAPbGKoRFEQ4Rwo+2yQPTZwyFhnF
VQ68S4oafDgFwi5VEMkehG/NKULLpDNqY5M776C/s2Tns7PFZjQBKxh819xUfXBph2S+ZiA8t1Rt
OqJ79tKXcr6fIjoBaDlZ1YWV/EickPhZXrDPq8Sd6wT1N95fPLzIZ9wMsxues6ionmH0DXAKMlQI
UAoG3Bk+0d9mRw9fVO7b3wKROl9VouhmFFoeaR5MTjwJoovKAmNNsSOUqCCDFWtohookPLYNRmjW
+sAP2evfxUml7qHaTi/0zpB48MKcPiaJeSlREtAorgl4m2SyeZ664zPhaCyBBXHqZX1Cf5N0aHui
q2YroViws/LHB6sLqr1jlODEM1fuUNmTg2SRs8KxQNItC6ZtH5vjgRmSDla8REqyJBbBrZMV1VHW
3bgLs05uU9iUX5qYyQ80kkNIqaPkRDb+IcyyCMtSPLFTClho83ewNnWYz9u+apPnup+ccNWOYbim
BoGKCg7RFU6dedcvD1zi4fXeNNMvmTFVJ9ZD3T4NKgayFOIOllDu/FLJR78hXTJ3VXlKODMARExg
VZ24dCnsyowBt5hO+QSmheDAxvjVL/6YhJgR6YjWz/kTfZvTiRIU9tNUxHrNqhF+Y1jYhyjlhAgw
zGx0y94T50V+IMLJ35mE+sr0UrjmSclphsFjoJcN7HCXBmfLDIIroptLou+7gzCTpOIYspogfXJu
cszeVjraW7q2ntscLNDiuNtmzjydUPgK+jL8e+7la8vPBl7bfIS9QAjgKlqoe/nQuxt0gnkbjw6g
e/BS3M29NDtHqMu8BIF5HJrSxDrWJwwMuvgRBcOS2UJh9uzJWBMINyvqwtkrF/Cq3q2sTL8VsWwy
VhtWcA8By7+CWpLdcldpzxKe0FFMCmXJUdp+SiCGrCH4Vd9ytWDTqqw8s/tPuP9VyaGC/XqAeZzt
Zd/UlwJwwUHHpOLBX0BwwatqSX8Ga5KYez5h9peW69pta4BOoOi82cY52kfk0yAqQnvVJum5tJzT
qA+Tx+vZFf439uZrymW9e6vo/T2Y+OSJda081mmWXdxYs3PlI0hRBpApW5FR+/O7sPXPrsIQKzwL
nh7p4J8N9MRcrCCQNvCVadJbRybqrQl7TG+1U3g+3ATuvzZMOnapBUDMJvVJ25BKM+C4pNP3hXrd
bDPpRNsJ4x3Op0WvRNPBA9n5ogMyHc1ktIpPhVOoDhuxNyIQTqXyTjEuc7Ad3BCNX7MJ/92q/f9D
aXIWPz4Bi3+tx59e87z72/94zav/+bfzqyYU2vxBz//1z/8mydOhthh2mW9MKR1U77+bdl37F3tB
IXjs6PiH8tjf/F2Sd34xbd+hWA35HTvtotb/XZK3fsEoYplI+ZLdm0JD/zckean+GEEw2Pa6kh3l
zwu1wupCs0NEpvelAThgoMCtIsCcgEji/rqiS7jcLn0J8co0AEWsOi3TLQDZ+jyNwHdxkNQ7UpnO
tSpgvokJ9jaJQxhVS3+D0QboU5URmhCgoQhvGBQBOwe2XtVlOx1z4vSrTFNeDTJJ710uqVtdi+hQ
5k19A+ow/UqhMcsAF/xtvsxLQ5elZz+E60kymiFkmavyImpOyCmwbkHWv2IMVmcX31C8CT7HMr1M
aN4yq6XL1IbRHz7u5yg3LFNd+TnguaxRL3MXGtS7LhNg+DkMokpaj+0yIbZTHU/nmmrI8wSg/lJZ
o7ELvDLYT4yXMpmxA3uKkdMoWkZw+k8HegBA2pfLdArtqscUycRaJ321Ac80fzNSzEboB/bBXGbc
1I0mCuRYJJ91qAlC+79OxV0uYCWpHIIhRlf6TTNSszg+zk7iVt9lOvfIHpWx8bAar5PPGXyZxsuk
SL+ic1Rfw5j2ILFM7S5XAnctnKg4xct0P6NItEDc4uatw7q1BD+VtWcMTgW+Gu0cB4Mm8hX0TuPR
MEAEXM3SZVkyd5n/A0EWo9s48zCLM6M5KxFWr0YVp2CXZO+vjbxtt7HIxCaYE75KXEX4tTq7abfE
3YxDgUSzjWZlbmZqVjc04ogN21g4QcByrXtk6BwsGr+FjdXY1RPrWB5jNBNX4RfEQQ+SXW/VKFFK
U26RiTyHZ5Z64U2uXPvo53V069CUvTarhiqSssImwsvWlNO67qLpNsD2zTEIXE7yJa3bhr/ia4dL
E5HRaAWOWfDKK9doR+apodwFs5tZ1MnkzTGSxrSjTTb4MVWKv5POfYfkhQktjFIqyKTbABvavat0
8Mp5nBJIJg/NMGla6Hqxk2wif/IZxGvAskHc6o1AFLsrMfcgT/gVJLtuhq9lWcAEYpmFP5waEt4Y
lBUroJhCCIcAFJaypml5VA0ztwrqvzqSc54h3tGOpteZ++sXoiGesykN0/4h0AX4SIPAhGk45xrs
uu0JUiCxrrA99BBT0MMLj1A5EwteVNKJxMp7+mB8h5aTnWVQ3HsbxfSybXgwh/Dsk1EtWn2HjS9j
bHywY5d0lF0ZMGlaRxfWNjFrb2HQd+KDRtLySHu1CdwynymSrcMCf48hAudk4k7SiEi+f5+N45sl
0Asns3TeZDFnB1xV7f0YOujjHcCUmSKmW14UVBXTq8an0UjCV56moNRpPT9WU9Cia4HAolIRu6Kb
+hY7Kb0kXuaINDvjD7+nMcjaM2MsT1ZnauIe/rXfVdsBLfbAehCJ2qoove6p8WoslKnN2BrtE7N0
9D2ek+F7GIAwJMM8Xc/IIbcUgFNNPTn5LWZjp12FjUHwQZqTfDHgyXKLd21A4fksygumU0HFXgnh
PEiAgkUCNB7m6PUg/Ze0SKsts7G6zD33DK8DSB6DJLrA33NePBnC3isWHYVCKXZjLf2124qS6HVM
+Vi/NlMzxl3HEHikQ7A85XZMJt9jYog3rWsFlyRxx8OkaEKJGnRSWJRecHG0SRtPYwhgjnXjavrH
sla8sm/yvyi7w5entX9PZuNuKnAYhrQ+r8DOFjvHoNCBXHBXPSqn9895ldE7J2X8VlqRPHUMpNzq
O4GfDVW+B962dTT1Y/ZcpgcrNpxNBvVm69QUZPNRb7blcqYXdMVsamLmJ0W/xLcs1Bga4wh6pMNK
Dk8+RAiDc+8qx5Jy4xPGR6sL+g3kXX3vcM7f1mFPpxCWiBGac1rvIRzJW9XJ9NHURvRhuozVqylO
+23nWT7Vu2NyEL6ID7QrDLSxhcYJ3YYgNG3eJVdBdrGbasiTq9DJB/q57WH+Hhr0fyRpHt/nzK7H
YWzvADlSEsFpKbOVn/jWN57b/hkjJ/d1x5nU3SxYEmLZxswN+iQnAaunAq5QOyKvlNGPJElBGCSo
21Y1EilgXeV/Dwf8viQ6AcmHVvM65Ln6yvWj2YxipoorpjVQynZ2V35hGjvCy6x0Y0rG7oiCuZes
mRUVJvNw6RtDEgABoEAUxAxOmMeojRbhcPStON6F0WwfW6MHNgkBo925RpLdOy7hi5igDvTmKmo+
kL/i6Npy+/kVfL7JxjOdhUWMoXTWCR7kS0RP5DqcIHvQrC0vs5f33ywdJju2PB2t8Lmz7/28XM54
L6q40+EXJsJTsLy1q+vZU5iyZr+2Puy+LK5ZeIzbVE8I/cIj4193nn4LZihx5lxYu36o4eB4c/dB
anpaahf6BwoY8Va50sFEiWh5gvaWvoKSIntQ+FZ4E6aRQG2nE2tXO0uomMaKY9dJouS6cruzO5jm
uc/ZE/qG6PbUw8R76KecdAZ/5hibIau2OhhvEy9SewjXyUkrr+bVbOsvwVDQg8PjBFLzRNx8LPX9
4DSsT73AfdSJT1FWT3h3pvlm4yG5nCnluGahXxx1b0CGnTXLbDdR7sXnufr9czb97x7Q/2XWbvlG
b2XFcRii9/zv//XbN968tq9/+BcAmXE73XUfzXT/oUnq/H0uXf7P/9v/+LePz6/yV44ZJRcX0r+e
0M8fzesSzf/1qx3f//M/zF//yG9DucvojT0OL4rn8eYyma9/TdK58hcPXdTjCHEWdNNCgvptKKfZ
2BUe3hnJM9IlCs4d4beh3PsFdBQRTt+0+Fqu9W/6ZNRitPy9TwaSr3JMR1gCD49tq+Uq+Ttbnd8l
xpCmZrrlsr1VlLtxxaO4Ml6jl3aXIiGAjSpinRUn6kHkWCYZnFP6MHO/4rZvtF/lIAU3Y9ShZ1Vx
61sLUZRHoM6kj6jxgeNCVXsB0K/3bkTUKu/YKzXElwZQ2ZucnQ4SN4LmqeMi2ay7Mu7oOYSERncI
Ylq6bSkFQXKJKUshJSfUJqKg8B0bg5MjMngKDpCdNMOqZZtNPhusT4EzOHW/iInTjl6jaLw4swjO
s66bDj+DUF/rebC+BgTvH3VkDDe4A1gD97M2QEeJ8NSbHlzOOI30Mqd0PojCdL7WsLGIpRiCvVgv
C9mfgMhynSAa3/AkmSLrAXwWYTio9nGGg2YGNU1frp+sBrKGBcE9MiA3kas7wmwRztc1DiDka83K
brhRBCI0DewSpKkVIHXQ7JxivEV1G7GBu2Ej1nGSV4ysY3mxOiNmMxBPzaWcwEDh2mHhvlYYG2mj
Alz+MMzsiBH9LWJGbTtmLQJWy0aWQmOBU2So0rcUXa1iEOoy6gl1yjegicN7FrFOblIj8A/8ZuSj
8JL+QKRpug7Kyb+1hr5oV7GfNONWa/rWLNvmTJkTiPJ7GDbpqWpGEa6Z4cYnUaXuXVoL9SZGKocx
o3YQq2CC8dJ4oYcyPyR0hnWOpmOqi7uvXuhIVtyZ1MCKRM6RTkKnPid5h7eGbq12lXg14nvVclk8
yrEFNE4/34i/ge9Ag5Po8y14Gvs+yWV5cGBO3emc/q1VbyKDmCJiR1VH1uQCvraGa9b7Ebc9O9uE
XE0+ZBEBIA5mB89G0PsjL0Ew+0fZGwldzvTdBRu28fQUFaZ6qV3uNKtcCci0w+znIzs8WcndwCLZ
OUyUVgSrqUNV3IBKn+lE6Dv3W40rrFnRQKhP2ptpZmIYhiNbe9CysO033Q9lzqPc8CWKAPZsxUCS
QynsV5a3dNjSq86zzi6COygYCOfVRGMU7A0+gwBJGsLUxUSzMZmP5lJTrfC+9E6Lo5cbYl0EDjBI
BTKBZq9BRlQg8YnOH6B9exvtdoiFZLJzC3KQlk3yVMGuzdyOC0oHwgbmqYJyIawawjkJkwwCK1MN
zYlPhTWIPQnBeevGcr6Evs7OU9RbO+C/Qb2O08EdriaqeigMhRL81Azscfr/Q92ZLTeOpEn3VeYB
BmVYIrDczAXBTRS1K7XdwKRUCvsOBJannwNWdVemuirT2uyf36yvqrqzUqQIEBHxuftx8ruGVER3
PAvh5SC8vLgLo2TTZe2kqIqEQYqqz51Sp4m80Pul1q4DpjnwAnhPKOXQ4uqN7MR8NBUqqE/3Qt4f
6JtNpwemITWDxGlSeriy4H2mW/aJnGjIxCVIknmSxm8BHZi3Q1/Yb2k21Cg+rLHR2cAAfr6K08yY
fIOvTL/1ZIU8PbjhCCIU+4TlntnIhjPoaThCFxrZxQfY/A7FJlYH5r4fxQQ2SEZm7zCannjMr4I2
AtyIWQ2FjeHGK/mT8wKePCdYNv9TWa90vkl+JXtG5VLy267+W1bepPdVj08kH6vr1lTdzqiqdPv/
d93+ftn+n/+g8duSHddN3Cf4R/kXPt6fRuaPr++vafT9Uv+XP+D3hd/F0Gqy+tgG7fL4yZddxB8L
v/kbwzkGai5+JaZ0f677lgPOEYvhH8ZZd9kS/DmM490trlqLkSHykvPvDOPcUyDgz3X/n8O4hRHw
/XpPqVfJat9F+2xw8i2PPM+mx2gIlyaXHHS1RTbz3CEZu2OO0h70joF9abpRv1I2jMOhmumlprOD
xRcSVvOAUbG/BII6PfDdW3wIMT6zbcMYLFvFQ+2hEiTtjZPqYvSdJAeWbDlzGdcQ/EKt8SsEQQoM
9aCEvF2zIVXoBtWZKktxgTUINOloDK+QT4u3KkolMCVBQ1WZL80ys4whKWaqhTWCyG2/NFMaliur
9EYcrnqnE43NMlWfIdcgX0GNF8m6rwxAfolrxzfkvwDrJHNT30unz+96F/CqnfYq8MepsZ8ZFGHf
Gg30iFGRnvOximTZ1pzqyCaAE+nPNaWjTEbAd8UUdXTO7VjEqoRTbKmvidTGg8cidMAIGd5KTRab
2o3NO1MmPbTiBpeEFuW3uNTsHd41by8yzFhKHwv8H7YTHKleIF1LWnhjhfa4RtvWXJ5hTd7zdO+j
rx4nwmivMdz0NplpK5aidJjPKyDbH0Ogxju9Dme4KHmOzTWs6ufZTAWgQFw+m6hNAg4SIgm/YC4g
1tX3eXcdVZ5+ya4J9BiE7lmu+pAHcZrFMOEoSBi+OIatPdReHGVsIBz9i9sbEQ9EG870JtYy/Ro9
zHxLjKHeNbNb+4bZpThw9bC9xquA+7qsCjDzeUWFBAXD3TFhsFrz0GyKvQOtvD0TeU0ONDWK7oUw
OQdvKfr2W5gH4z0G2mFgYeoCwqrU3lPq0bsXZdVQmBwSlszWnSfMXVqTqbySXp/Vm25Cb/OlR/YO
ck8GyxQxdOThz6yINiRFp9Y2R0r7VnAkFusoq2Xgg1qr5g0e8MzA3YrRhFlTU73MIouedLOixiGP
x+Iql6NUK741oIShfufDXtIK3FFi0uA9iCmH5/NTPe/T4oXgh8spupVGVDd8+nZIPtIKPlBMHRB1
mRl8o/S727tJ3Rtfq0wxkY0a21A7Kw9mbqlRduAfGisqr1VmGsfei1CoSUZQUD0M7dfejkZ6hKu+
WOuEgL9irGu1o0FsM92ovvdeRDnPyXUXKXa2YgwkvKwp/1J3oXifqPR5HsOUKHDjYSZYo3RmvoGJ
apvoWip8gdB9Rjw7KhdbjqPDq0QuWJtFnbm+Xqad4StM6XjY9akCIz653+gisU06TzwDwj7YgZUa
O+dG74OW7b9qIb+xCbzTMq998xrZPiZMqS7FOM9b2bdduc6j0XZXVeOpG/j/7ePQLIxtOWAXYz63
VRlSx2Z0EZwZRQQkTE2vI9FfAr80qyLjs2D+texKVfU4oa7ihUjRsxC3mWVSkVeeFVgGzBXMkHkl
uSsHWHQDyftIKpzYiWNv7LZUX705G2syvr3j0b4zdwR7s+mWxT9ytyXz0gBRdBp3dahJVuZMP3PY
q4Hs4DI+N146v3egOeyN2enThZ5Dce6dKLzwWsxxK7MUzu2QV/GdwlTNOFHRUaiDdNgLnJSAJQd1
RR+53QHxLvAOlz3+W9gnGwUdeoubO7jveh45oNXDGSTpwBQLXmqMKEJu3Z/ZKb4U8VBecYqTqB4A
QxNvHM/6oJnf+8mCeDBF+B13aVpaDubxiWvfp1VkcYIIq+cKaOazw0xowB5DW7YvR+xtPMO7L1wd
DiU65ET45UPrM96tp4NGSzaGI0wo3q50k3IdADal1ZhpOiY3tp1vmbTs+05wDFjVeu+ZuN3r5IVo
dPUEFWEAJFw3+G/NXnRyK+zZjCikSVI6OpyG3imz0qsHRplJeov9HUWcoSUPnVAX9drSCt08j5KJ
yYri41/2orDfVnbFmXBvZgN+5IZEsXVV1VVzEULJx7NWePBandD0LukCyAjEh9FHxBB/XbV6fM84
jMmal2HIWjlZ6u4SioEwgIUl6YWJnRhjGCfei0LvQxrD6vEgVA3m2JqC7NAPtKD7sDhysiFlV17C
SFft2gghYyqXAQ+8WGtea5OW7lQOZddg2Eqlb58JcsiGHAmkWsnRagzsGmaJisNhgMa+8arpxzmE
+9qWFXY+NR+npKo2fZ7DE9bJbNBJbefJm1OnxUbPrPNhjBGZk6znb5W8w5uqdNpHsL3DgXoMnRnV
1HFsbFMdPb4c4N+FncNst01l+UjBLOctTqV74ju7jsA/gAsDurjbAOu1aXpI0toTK9pOskNEYUnI
16WpAY+3gdTpuJkLnkNS2zXGLTaxG9MovZWrq/k9YzVgoY67+4xo33k4l6M/4Qj0RdF2t0XQK9w1
GXjfsLMOZFZfnWaw13PvZYC2yBGbXdt+sUZp7fEEO3x1s4weGBdeTx17gfLLTHnXPUHULbv7fvRn
6tAORtBRKTbF/T7wjLlGn4ibZj3EyXicLeru6MTWOZsE6UUmeZBvkqGoaaqjl2nyhWto/aoDA5z6
kdKMHS18nO7nuE6X4GV5axLgOeCotI6u2yXnsxeL8z7qXRhYVd8+edxn6xYN/qs9BWbBsEHUVyLP
sGbmurNPuo4CZ1ER00D6M989bhj0TKMAkuxxtMjmWGzyFDCdLrvqi15A7hp6Lj8A1egpjyhLWw1m
OsMTpjN9ZZAGuCxSj1Nv3El906Dy+3bTVS8dQXn6V+ruvjbb9uuIOfIaJ9yI/pdMro/7PLxsZets
rNKJdgwv4pbhZIWHdgZP/pLPVgJ8qF/I/gJTxkqShvkWRHV0lQeadUz6Cr8xvlnwAfAuDBZQoEzP
SkzOxlG1e6cJC09trQfhs4PzCodlrMYXzY60F+gSVNckXTI+VF5i7yK3wiumA0byxiH94P0212g5
0xvHL2yLczW1bM/iBo+hajB3edOQw5tpB0QwixGwubLlNN0AynehJ8nhYRY2HbV1kb96ps1Wo4Lv
gFmmDQYKxqgyhxtRW+GOSzUcDWauPB3ioLmJcejXbF9sjsjdnPGkMtFws03VRw1m0ETry11P8iE4
q5pOD9euN9rZNjMi47KtKvFoOgOtuybi9LSNVU45/di42Edis3HPY0gJ8F/E2FLqN3hN5LuzPuNU
NGuYHME0NM8DEmqybuJIL/14zoKL2DYtpKXOjs64QzwIPVSIvobkoEzGTa5xm2Kups/G7QXOzRzq
pYkT80GIqL6t6ozC3Ibz0G0yCW/N4ZlAhKk75zE+4StjkdMoxERZ4y5AZWPdxYGMETuDSbsIcSQZ
4mgTo8ozdcBQXAC2WBQg46ThuSc9b1ikPSRNVL70pPhR/Yv6V56UQPOkCnIV8FWNgDt2ttG5txBL
aUSbT0oiQof4SHLNkzRZasYXgjfTa7zIj+5JiSxPqmR6Uiix9aJW1n09VqTfEvStloLHaBE2qYCk
K2oRO6eT7skek6GTcOPNvEiivVu0xEwbHlGcxe0tmQluHLEIqV7kMv07qav2SWhdJFf9pL6y60Xh
a06q7HhSaIMw0z6yPp/Zo/XNmXfScmdVl4ArCqyxjsXXRCyyL3c2CnC9iMHWSRemzY60mbLHVY3i
f13qGZVixUlNZhyEssxdRSRkkZsDpNMza5Gg05MajeNpUaZPKnVzUqydk3qNPoRqbCyiNs5r9O3a
C7KPEpv+LXBB9G/KmtFs6DsCRaHNa0Y8XORFMicXuYyBLXT0QGcHuKJwW1+HBUJ7P+vciyf1XS5C
fLRI8ulJnR8XoV7rDCT7k3ofnJR8Wv60ezDm/BR3kfrxO6D6mycHQLeYAcrFFjCdHAKzMEKcg4s1
2EJLOXcXvzDBtLQidYaLWNfa3lf0gm0ZpYybsDHrjX3yHxeLFZnasQQtC3uyV1KO2C+WZd60OIjF
xsw+ACBY6hVbxEtcoLLLqBgeAsZzHiwTP3HCmHautL8tRb9Ur5/c08HJSL1YqiktzTYGeh3CFenl
c6p/2E7JNNiY+LHZp3o7ne/kBmh4i9jvhS/mYuCeTl5uLTYAyS8G77AtnZtwXlzfnA6Sw7BYwWe0
bH9a7OHjSGQn6oxnQ8+iG7mYyJU5omAHtiRctpjMRZWF5/ZiPE8XC7oLcQrVfjGml6nOALWZsXnj
5raXHXpubRF+8bMTpVq87WHCbnYxvDNy8/Yx29JNevLDDwWlU5myOBw3Cg2Z5iK88yHkkrPy5KjX
F3N9SThoyxbOvrYX/7343YnfatfAr63NYBMBWIWLZ78+2fd58lI/vnj6ncXdj+UgeI5sc+bRFsDP
cb0w5unSL+GArNDzS4aWYMHhCl2rU4ygdt0pXlFXQZ5hyRlES+KAmAnw9aBIkqsmq8NpLfVcw9dB
ToEZ8NQSn0+6O/B3S7smiQaPTNdXvrvGtXHKOyzJB5D5hCBwgUQgmAdhPEK8ZVdvpMmZrO3kwtH1
DuL5kqnIO55Xcf970ILMRVb00bpfchiBS61vumQzzAqAakBjwLm2JDdShx+yCjQs3XzipQ3lyuof
G5Y65L2hzrbk1viZepfdBVD67ruop9Zu6iuTirtosLeMOis/sszxosRWYfjLzkUyA4+KeyM3kq0t
VHJdCvPD4TDIqlynbbsee607TjCkHpblcwNW3C0wOojhAXtqxLWc69Ld9jQmv9NbMPn/zeE8qzCT
ZntrkuxosmYc17qdLIyfKZJXM0tKT/gkoSTq/2TU+J80RIRMQWvL6WP4Hfq7qJB/6IGXrzl5/F35
g0Do/ONv/CERit/w3SHqGSCHiW99F6W3frOlRRssAXaGv3hM/pQI5W9sZG10QBL4DuPLPyVCYxEW
YXTq/xgj/lulMJ+D9Msbo5UGAIdEvQTX8uPAcNm3FDIbhg0smHI1YtDbBkmH68lgGqARe/kdzfC3
OOQfXYJEN0+vxwsy4wQ4sXwY3w8os9BqU5uj+GYWgExmEX4oVm8QsRzlvrsGf5GWNa3P4ievBSd6
sT0uqVGpf8Ja9DbCLGlsUGwGZ6Ywl5Rzw0czzhLTrC7SgE7Qnr3uLjO7Yh3WjfdOj5K6bosxPWPY
yZGdzIRx0CeKMWiQwLfIQyFsHgWBbCjOLoVPJIgMpE2zBSw5M1xqDSfgxDS6LCY5swWHpHX5jSEq
cTM3Ne5zt4F2ZTmQ6M+pM9Wv4wx3g9/Gc8DWwRHf2PCVGwoGE+W7bdZ/9LBPv4U2aMy0gMBSBtl8
jb3BxplcT+GuVn3ik2ZTN4k9a+e17ulqXwv631dp5PFWeicIHlGp55gQRo3JIw4zJ6S5dXIEmVjN
2VVUgZTkOxL67UA3MgtEHDIZtDqq+cjpQjg4rX3mhNwPhgJNqjnFsZjseyJxQINTJmuHOdTm89iU
BfPUDGo6CEER6MrHov2k5RizYRXfJGIudoV0jtPYU5zoESzkoF77lqc1xwmeu6/3vWJfQkImM/Au
rjXbpY03lRhmtDE9aFP7hBMxWeUE92nB4XxgO/jiRuVA8E7I5RPgjqK08i1j7HDheRsVFBNF7lTY
cepoTe12qtVaGs6SLx+jHRN6saYf8Mysqd5IK4uXb2gpg/7zUSSxR/tMwr8wA3UYHu3brPMYhbBm
o8bqa1vw4qad6xz39Zuhx83Sl+zlYIu/hmZ6kRe4zUw7fBsA7q2MFmqrKLQd0J6bMm2wW/KJptZC
hRHRHTy8EHu6+S774GikzlldJpmfEfvV4csxaw8r32ytm8BKR3Rl4z2x862V6rWf993O0pMPlJB0
kwbNk+R/qMC9ZLrwgVR9zLvwEFYpi41aoMxRfYdnZUdtwMqd1HkUpLsO1n2EO2WDHsV9N7rUU9dB
XYfHxBKQ8hP0+qu6k5cxJaqFYglj2jKurCE7173xmw0GYJ2ODZHhnIvXjC5RxdArSDUM3qa34nQ1
uwWHIY9JQy/cS1bn8NIKxrcoaB9HRmAbaTJZogI09u2A4m8rZOZBSRvgowDTZRv4poOGnQL8Gu3w
PAzScmc35lOqe/wCDDb1gJfLBiQ/KXZJgYiR2dTPMOZYiarE6qnz0vZgaqgFnSKrIwefC3sDao5d
b0l5tJZl7YraEWIatTnfM9djrN469wPSxqpw8iNDXncl9OoN4me5+T9ZNv/WWfOfqtDhgbF5Kv+9
/eb4mrbR6/vw7Vv1vTD3x9/75wK7NH7YnmNbYKl/lOLYcGGKFyhkFl0DiHT/8OAYeHDgEHlQwmAS
2YK38YcWhwfHBojEn3imYwr0w39Hi/sEbbA9yyPL5UCyt1n1sPawkn+/4slyCKLGKqBoDPnBy0E+
Ddgxw7x5oZYej6ejr1ObmXLS9Gw8w4VioD9A5dCPZauerCF57qmtsakZgTGj+j1zneuEuaTPbxGv
S4wi67pqhd/I7KljzVjpXvpEdydTrmkZq2E67imEYg3zzSG5+u5q/MUi++P24fTLuRY4Cp2aWuiI
4tMvR+dw1M0ThNkxT9YwtLZp8EEd7LVuO7/vLP924/D5lQRXUlIZ4YEFJ//gfVI2URMNR8FVWLcM
nGKaKPmWHyekBKMK1z//paxlE/KnesomRSwmx+UfluQfi4T7/SXD3jrkbOe1dWGrr04ActTJi8du
InHVeAZs0xJh0lbpmtxftXZU3/o6O/cV+IloF5Ay2M99tROx88x/dV8U+YUmzXktZfMUasN5aTuv
ZrQWuA4g95RvzZhPPrNfmJxFzUY/xGoIR2gbWDoG3L49szjZ+J2iRlbo8bCOgunVVvNzXccvVs1U
MEt1+YuP21iu3KfPgMOuLrGgSSxk5qeNYcDEVU2W5q1L191FpOKMfARiGXXbisiCVz5VuY2HUwE6
IUy6DNuFyt+hSn77+cU4vdCPb8RZYILAGQHSu+7nCoYpGscwDxF3sg4fklHX+JM158kNWxysRvY1
69NzQbc2nJzzpp/vSzndqCBxdhjJs1XumTdW39wt6eNR1jsM0K9zEr7kk7Gds18VLi3ngh8+NQfZ
n4cQZ1iUfiodP92lReKSlu3GaKPrM3k0Am7sHO6F0u9qzb4gKHHf9uVZ4tn7ebR3ca0/AA6Gai3g
PJF+aWbAIDAKHXJp/syWKLKh81SN+MXe+F+uLu8TUikGBsFXCczXp204vinHjmMqkVSc3VXIklt0
5AG4xHg1LJY9xtJYaGgNE3YnaCacX1Q93015s6H46xdvZvlMvr/An96Lu3ym33kUdbsyKAHLgnUA
IHKkjy/1DBZ0VCrX3LW/fLnTM+nz69k6d5PgSjnm5yOPYwWpO4MmWlsds0IwRgywumYNepe7QtwZ
YWZuaQIv16rU6NfOnfjajqYzbJAvzmQhLybAl8IhzzAEF08B5/cQDH+etPdzTLYI8E/mAwenflDG
N7RT9uzsvZVmzUfs2mKf2ARHKljEfqPooyMcsBnC/hyPKS7tQsKqF/UxqzVq23AZryqaQ/adq08b
rAJomTkEfbOhDbCz5uuff9V+fMSS3uKm4KhrgwGkyIHj2Y8XAq0tY3fEhSBnxPks3CbV5Zi4YB9/
UavyF18T9FsSaVi4eSFrMcB+f8nljPyOW41m5oShtEq/FdIg3utSoDAvbESvjR6xKdyJej7r+unW
msznwM0X73vw0iAhFbJ9Z6q+KvR0j7x+D6boYiyz3c8/kJNd5sdb5cf3+ck+y64S7bCqUyLy9nEy
hi1x9sTXk/wpYIHmVKDUmmR5TBI84tQyFhfNyHjXreqnENYqpJWZzgTRapuRloQ9XnB10bRNvk7M
IcVQ4Aa7sLbFYSZ58tAPovSrurvECKHYtvbMjDq8G9TWAZKDrezbuiLnBJMZrpmA6DxMHSOiON/A
sOuJHZSPFJW+BlEFvK4apheGPw8mnvj1zM7hIyelQ24lbOjFrMPzwi7nLcj0h59/Zv96E7HbkYJd
D8s00cNP3+a089huWIW3DmUAgyvlIaj82HJ2QWVuf/5Snwibyw172nM4Fgd5ARPr0zo9Lo2DLYYg
Jqmzdej7+RGQmHVeNVP4ADIJlnwNS7+YLtrwI3TIAJcWGWKTM/xq6EraQSbD5qLI5trwpl+8ueW1
P9062ML41jLw4dv0eduXJcrIJcywdZJnhyncOlI7n+svv/gEPu9UFtIiXSloN7wGnvFPn0BjpmGv
7IyOEhA87rhkcziWrwMJDjCOFttvf8vRsXrF+vIFS8iNbC3IiCUeRFH0m3rOKxI7cbFx2vEa6Sc6
ZlqHdhQ44hcbir96p7YrWBS5LYhRfnq4dMwJslEyx3DtkqdKTIwyodAgwpkdktBa2ZHD9DQ4d+He
/PxDWsY8P1wJLHcm0UnbkazK8vPDBp5ON5dhSblI5TwEg8MjBm+UV66twrylL9yPkRR//pLGX70m
vTbYuT1WWAx9Pz7gPCpihZNKkHd1sMNxCyQxrsZDRSJgTSfSscz7r1GqvtSReKWq9dVcrBCB9taR
nfAjrSwv3bH4SAgiGqWDL/z+5+9P/Ms+xTXZTHtscB1kfb5FP76/UasNmAydtkZAXJMF2gUyYPDH
1wXvCRz+dIZUyU00jCb0iejQz/ZLWzbjtrOD56ae4R/b4hav+EcSRdt81LchJSQruM7XsCR3zLpZ
qkrgEVX51Wa93Th9uFVEns7AjO/mSgyHJKU3JQdExDwIFrNsv025ft9P4tnAQUGuaasg2IsQbqWy
mvQXV8hZ9q8/3BULR1nHc+lJvjve5/1tEYP8cI3IWbfKuTdzeUMqaO8Uim7TamTy4nUNIlB0UY0h
ZqmA/6ekd7iZsnZDPcpt1wy3eKhZDDSYcDEuqtFsWOBxT7k5mhR8oHXuEZM0rOYYth2dyRMP73oI
t7gcjIVed3RCMaxJML0CjsItELp0OXvPhhlfGCGw5QxWUsJqkEzFetDxteNIfo+W9G9v1pdNv1T7
Lj6u/CrLxuOYJMc0IzsLKOVVdd1as6xwlVDg3HX2RYkJpeYMshm91FkZhT1vRUF8drTqTanR0aUv
xo4upxHXSMdtJFqfihskFN04mLL6OjThVZk9OfShxN23n9+M/7L/cy22y3w1Odox0/78ZOip8y6c
2mI/Zvr1vJfOXpX7GuhT+cdO8/91gOk/SJ0wmJ/wef79AOXi9T2aXv/runl9/9ZGP8xQfv+rf9iZ
zd8YkXDsNYgKkVZx+br8M8eEZrVsl13OC9/bmU37t1PiiccIe0WWON7IHyMU08DpbNOYx0OXRZDR
y78zQmH28vkegfhoY7UGLsbJXLfksuv47owQG8BiZqwv24UwKtZAyClHbmlUx5rPtER2xqNLwwRk
FqT5Y2xNg3HAqdyduVh/7gphxldNDR6JE84k3lkiYb0XnQdapWT8eISM2UcPKCABg0CtdB84QJqE
L0xzPWqWvmr17LYW1P05kqAiqp66qgr9YSYkw/OiGO5jWeX34VwU7710rKtGz5O9SfTjYFNkdNaE
eX+dpyMTRnJioCOZJOdoERFVrZ05dbtITi35jQ5zNiOkQfeb3p1uvD5Q04rlISvJItW3xWjn862i
vtI6s6M5v6sINap1EjfqLjfK3DvMYqCnzwNGQv5GmJE6M0Ms0iuq0qt3TXP7aTXVRZCtrJwsxBF3
oecdVGA6zmaC79bcTFNavYtGlPEu9MZUPWhG6L1j8hrfZgPO395svBoqqEMmJkwGzd7GntdQeUGn
SU5rp1MMh1mT6oNKEyxxI5GelwxPwH1pmzngs8C9McUEmTJJziJUL3KyWlTpuzJz7TeCg0KdWTj6
yPAETR3SBWTrpM5Hmsls1ZRbhuQi9gnJYK8kOnEv2jJ+xlAXvve1Rq+G3jqXnNcwIrVu3UEgHkLh
y7waztk8dbuCxcRdpbLJd3wqwvA7mYE3bGuFMzGuePYooAuh0YVHK9Py9GXm5rilC0MjmYIf66CB
uWEencH1mUNKWqpgom5Hx4nkVz38AJiXSMgW8RspUtNkEj04B/qTwqMo0q99zt3CiCeFlpmXpFnj
MLlzW5i+gFXTlZ7xe9NuaVNkMxsROeixfNXLMSAd11sfYZa7j3B4uckNHZ7QS1Q5uGMxE/sYPN4s
FnSm7krbJ6MM12R5451OSQFdjLkXn9tdfrtkUZllN9GRMLG8WQYYz02TxRfhELf2JqMye1d3jvu1
yU04cqmuZU+kvHqQFKYEt2ljFA/ZOJo5/Wr0u9GtnWQjFuGIRpVDW9CV5riAU1cTkesjHnW6kovi
FqKavolLQzB9QVpcEXm6z4RQzw2d8r5eKe53ZqKSdm/Vpu4WJIaLGZIiy1cJqDZ67PUyiv2YPg+O
3FQTgSomHTac6eA+4Jei4blIIjpMf8N0cURAUoue2iHG2ZsbIcZq7K9qPKKXMc6K0gWUpLumFW1h
k5g1263BoMMhNpxVZTf2szU78BDJrzlasEMREI/Cgvt2KUUbNdtYxlG/xUFkyLVQrTnR3TtYcjtM
44RSMnKhV+C3Zcp33QyL8VLUTthfAMaEC2lgDMrvYo//6jZyByp7Jod54WPH3YWIgQeVqUGogX6O
ByjifjFhUF5VUAb2XYSRkq4jeYY4HNZ3aVtOLq78zku+DWqqjgomIF9shooFgFsje8BN1ps+jXvp
t2zovIYMaNBU9BzX8ANC6WRgX/W5WExkGnHEgoJFtUa0/MBDgaxkW0O4gX+StmfcmXBJqhiSteE1
4qZRcXFZFFK+29pYmHumtV586IVs3iwva7QVZsV6HVDhR309f8RDYjS/FLYwvtQChgF5b0NscTuF
e6lXNTtebICkouI69mf6TbFFSrDhSJhzhDua5FXr90lflz6/Yr424op8eBpZJaPPMWUqmxTN8Kww
oF2oVBaPpZNMeCXlMF32OCYPVBJ546phY7fhORRq4FO8YY8nbbhQFB5eg7kgEusmkbdNNHu8kSMs
YxFxPABpEQFW6CTqXIp39CyoTY9zObmVM6Oe4vOuG0ggaIRMgLZaj9TnDFucWdNqLjz7rEe36zAc
STffjJoOjTLkDG5p5pgsXVHhvCEk2e/0qfeOtDRqPug1C5WZ48EqEkV1pWGtfNUJxr/EnGcf2shI
z2ywWltQs8Etq2Xs7mr0zPvSSMa3uovFu+kZw/3Q5MNWyeLO47EExbF2vHYTqfIu6cWYrNo5qg41
vHN95xpOuIdsaq0p5SNcD5Ar9qXolOVLgnTR1qWopVm1mf0cgnir131btOd0OLofHoy0VRFzmGRQ
oi/+1vzFofc2XJckkoe9bvbWJlPonhmErz1BlRIbWjJcStji1DzSzZlsJ4NfGEul8a0qY+3YB4kV
+WaBZ/U45dZcrdtmLr/U2ZDR7znSxgSlqxJnlejVeZpGYUfdmivkikRQ/CIJE9wovO8XSZ16V0UD
RQf0jfuVpbk5wv9unxMlQXtQ91MdQCSE57mxREBqwBS30hqb2zwGkr/qhPKueC/EVAY4lKnR2iSn
4Yzfmg4RQsIeVbcObMo9neSb7ZrZF6hayWYI8ri75OoVzzoWTybOHYzepsPBZZJOisvqXQHbuI7A
IV+ycxlxnxf5E35reoc8LaYZoyTLUhh9g3urVHzfnNFa0zpv3+jVEgLNe2+6MXptru6A92oHU5TN
i2kU3GCh6FH5g7LO3TX8NTWAr2u7N7tW4qV1K3UzQu+0zoD3pE/lEIbh1SQ6Cgb1RBRv5dB2XwML
E+eqHUsCz20bTPgy9MRLOLgp584TU1vwfMmcQ0U+J1oFkvnoCj8RGRh+Gg8zXXMcxNUyBkRq1vxh
SqH3jUjA3Mmh5cnMxTUArrRFB0/YncHlRiTNKjZmJMbkCClhHroPWXqcJWmjYgWzov5DDp06g2Nb
HQe7cQ6SWOhNWpZqXrUU0URrmankS4YnaxfVeXseR4G+0+0AUmkDyROjZJw9JsyYKYu1WxabiQ+n
9Z1U8Q5VxB8uYEZv3yR5m2yryZpfa69IxKYeLTypkxZ87drREcShFWjZ0BU14Y5xitJrjO/NORce
cdnkrxdMi6G/r0h6F1c1U+ZbNqbReoypYYAb64YVel1G8IqfGe5MLylfvLTP+b5ZxbAlUBwbJLop
CehkXT0XZWeHPhHw4jWdpDwXJEJeLVBb2BpwobLB04LzsKwNyThZpnQ60WwHnmKe/AS69mPnhvVX
gDH1RGgOvlZM9kVbeeT/b6NyGo9NWxX3pQcbe9U0pbykAEbF6ITEtAq6KayNKcLymqf+tG4ah1JC
NjskEhjShF8CI1ueOwOPydb04BnmngF7GGcozgzIUTnHx6l+ceOEpcaleu6qyWvMFhUgydeuK2ki
jZK2hHWRplcWLmmBYzM38N1TF4a3PQMV1TUGWdkW78qXcO68e7yvqetzEpgvsSbr+2JpqFkz8xJP
uidVdJeOvXddi8jKSMNY7nvH3rJbjaM+BduWlfm6CCd5iLIywECJ+29vlZZGpZoTEfsN+cz2euyp
new6Cgik0Tg3oHo0Z+UWg3mH2Eo1nR32D9HcxXdMpN1rGkHYt0Wybm/wEEm11T1om2xJqLZjZ69s
evRUaN8p24uvEjXbbPLcdLqS1v+ydybLkSNpkn6VkbkjBTDsh7n47nTnvvMCIYOR2DczGLan7w+e
WT1ZUVNV0yJzGmnJW0pEkE4Ctuiv+mmb/yDVbj/ggCFZ5tnYL/F0uhghetf4ZsXDCVsojzRikP30
p5F27jJxn0ms19YO4L73YOrBgxSaUboZJja+iVYgkqAIh1eJV/vvOYyVu9KUxlcNUPrRnDCyn4Tq
ylNFEOh3uqHT5gz6vY4gWrvlN4aO7mUexulQzEV/8hv6eDcYE00kDr/Pqp2XyGnapBWr0KFtS+9A
bsR49uKp6DFkN2pPmLQ7lTgx1/6UUuraQpPdWpOWel2R1Lwy83JI1sQRp9c5AEdRJxlauT/5rQ/0
IR2x79bNGcnYzzdGnMrtUMXpiZpCojOlfhvNDtAvfu/NTP0734hoP6IavzxbE+D0hNB2KhtWHid2
7tPBxwEEnhe22DTQk8vitbKN5EXkFi4OKSAqddTvCRX+XvvOQXm2PI5xFG/boCt2DlO5fTAk9T5K
p+hnZDTq1hE1698EnxiHC7dDQp0kVeHDDxwRSMuNPdXQlGDejZWbHNusUTuypdXBUtBd29jXP4a8
a+7prmR+QX6TjBy40yeHvW/nBYM6DAXWYo4zal2HyUNasTQrzTc6zX7EDk4ywe/rCLI+xQFNKJcG
R63OWsTs1HRfEHIZfnB76JAMgXGu2InJBlYDptCWUD1JF8KERZYEHyRxqTerWq+7GnhAqOad5Em2
oD0d0lhXIc0Fn8Q7v+fG4GwFZn3ZTrmNNWQSj94k5dVkiBl2TYymlyTcalNmR9dhSgY28WHitBUu
bZCUYpdGo3fflSaxk3YcYby1pEJNQG7HyWjabBO40rylJIt5Os26Z7uOnnjs7z0nPvWjfgE75Nwh
pOLUd4sZOhWGcWWRzuDX2ZPJjRmstXOWXCdGV+XrbNLFS22PyasZk6zg9kkQLazaZw/T72fa5OMd
mTORQjrosutp9vyDJwbnWEeMcvfmqCBbmtk4vzMlu80bJW9ziA/7SC0tw7bkBKgJIhC50nC2ZLSG
eOu+QRfqv5pZXZfkS0+qyMpNi8d7Zomx4y8RRiYEpnEExTXWO0oyyLR22OX6OlQLnkI/lglf2w5a
d8PkUe/aIgbx7UgIouVcihvcAsNT53M2n1TeUUiLQv/eRoF71Vmi31ZU867IyamvoErjXRH648kN
o+Exil06fIPO3AEhZ3cj0rmzDXpRA9qH8xU4/JgSZtnT1ctp5A4N0W+3hHqI2tTaKret0RKApVaj
AvsvfKj5g9UmJIwcUoKdYZMzKjk8bRKDIBfj284H8o71i1RwRbVw2qFod+wm31IY9CvkRTkesjmt
PsZYIk9oWxQRfLysie/KrDFfIrLVHL8JZdeZLT5EYni3Iiusb5Ut/bW5Q+3iquH3cNTcbnYe7RRM
4OYxfcnbcXDBEVO689g0qqoOY9wG2yb2umYbFO381ieNC5+87Y/07QruC6Nd3dG5LbzDIpB8xq5h
4aueITw4/Ug/uu0A5F93VWc8WmoCOTf0zpr9pXlMCr/7xILOAqCs8iDc9ENmdXKyleqqbbEQ5swB
nYV7XWFtQO64T60/dbBWwBVexyPF62ubIJbcCiVmf087j23sbCh0VBgMZRW8EJQW5r5h17RXKiqW
I2N8HoZmlw50Wa6YsOkZa5pJECzrQ/P3xhz1TQCH+dUcSx+izGRHmj/mZ29plcorFJwKKEXW2nhA
0bavDD+zy6ch6uZHkB29dy5HeE2nOhnzcTMnE8SuwRjWtLPyktv+e1i2ZbhlTmntbcQ5nxUpNakL
sdz5mkun/KDzda53w0AkOo9hR3M1M54AwwVnw5vVmiMk9gZd9x+8cqm8Ycn3nFOry+yWfK7zo8h0
8IoyAz2U/YiTdOPuq7xobki7UuYlY/pCYAHY55Hc584Kk+I7MxojOrR0NSwN5TIHbDzb+PPysKRf
2pIIBoAEBU0hXjPQWCLTZrhm4kBHOP6GGD2iaMlIBWPTORvWdT0g+8fQjWxSHCY47YVjkzojr7vC
/wl63CxJaCpuYhntFbRY7nu/Nzcydzt/7RDMfrOjdjkqMyVhz1FF8ZQjB7rrCMXylibogv9bwole
JyUP5op9OveuWrd0PmODwkmpk3hc58MEzsxgi5qYFzYrkDjj1RA2C8DEal690greZqC+I4DAhGxG
UNjTWoEKVjgy1YRtoeMImxZklDiJFzu81cCcokkrrnd0PGHgyTrojG4SxB9OOzV7+i29myKqYECL
CgrarvO1Ty1VQLIC/cNgUo2nwXMKHMUpZ563TIGS21serbRZ69l3JUOWQ1FC4OEJtouHyqANC0Br
K9eJ5O4BQzruCn4lHiGsjLTxSrUlL0lJ40Oz7cuabp1IlHDjmMlGZYM5RkaatKuV7cm4Yb6k/n18
7z0uWHySQL3oyYck5ekx5FP73gwpPScCtvLDCQGtzzkl6yKxngI/SPqt0wUe54Q8tk+e6vF0x26f
fQogTegW6WhYO1LOpgEM1OnkVegzRM4qzaWLx9PD+xCPvmvh+xzjN0ZGal9WwrtCEPHTHXm3ao9a
W3xXbSnoMF/SokV+oQYpX3q3qY47eAr0G7SD2ecElyKPj8mkiW50wydSkzraggbPowL9MZpJlUii
QCvdx+ETsGBu86Ng+Zk8K/siKAg7SgvRijPrBAGb2LQaHtDcLa1jMLay2sd0zBMILns9M9Yb/R8S
JNBzQZaKy1hKF8MqF0h6q7Tzp3WceGiP3AUMjMNaYiyhN9uOP4kc+SfGWWilcKCCG7xTYAdJpMD0
97MYyCNJd6LNOaBDc+NWsAPXRWUh2NCK0mKHTvvmhrH3wpmY8vHdizI8JcQV33mTpDhLEzBe3MRK
nxtTkMcfDJ/xj2Gr+Duy0izZjUIzHKbaD0862xLryliNRfkMeQOzRFjPIAN113rrgW0SH7sXDnvH
g3xpCAWtum/M6TxVwNKXW6QRrxs5tvF2Luoi2woYpPeCSopmH3AyklyZQiJ0OBk1rHknuh5GGMZr
2WXztjUzYFoDdB4WVDPECsWqaoOFKMcdgE5Tn6fBxcmztHLM62Jq0NFSaSImKZ9G8tWchMGNmmlZ
ASyWl1zBPIZ5UZbBYQvsAht2TS87x9MhRiyaar7h2BhVdK10xUC2KK3f+9wIHiQjXJTHzPNIGdYd
YZ6EWnJe44LGOqK7stoqls2Y0vrWuCcKNgcvIgWeGdMyxQUm61o2F6s3dlzrnfR3B5jTB6hUuAFZ
KtIHVFwHa3Xltptk8NOHvAimAx2PSb9LIP6+NKluTvPUxy9ZmXCSroImuyva4q0x7Ghbp76fHzM2
kW20pKnitgOfqceo+mSgY3zXaTM9ZQQBCXMtHQwrn2V3OhVshXI1BkV5wx1yDA5w0tCy8z78wWFO
fplZUD7P5gh9Bdiy2nJZS65g0YYBVYLLJyJPb5Mh8wSLauH8tIwWg0402bsRQeGEpOPAlHT1nTIn
QRSyrG0olP4wH3Djxg9dOzQPtGPwBmQEBzeJiMWjbBVrdjcTNc7hr4+npNXNbkZfiXfz4PfJujQU
SpTVKEaokYO5/RDw+Ga8Rr2NbklvQXaD2EAOGJIF4e1mcR8fFDF2xjNJFzgkGoR17KbkMWkdDzio
NX2aUbq1DQcsgYnTMmhJIP9gINNyE2jFG2ey0WVvyxLvMedqQvNvHsC+lJSASwDfT5xF43ltholv
rE1GUQbHtrZ9BeVR/x4KTs5MXtABSJSY5U+hsiBfA9UrsLeOiP2A2eiIFyOGu5KFnhOl9Mr9Zej4
/3ry+v+dwR2a4+L8+efz2dvvFIP7X+eyf/6VP+ey/m8Y0LEqBp75Nwf7H3PZwPrNMfnPtUxqrqE7
Yqj509suIFDhc2H66lPfvNim/3Mwa/nkyoSFIz60SEXZ7n/J245R4hcXhReQNQ/IaeL/Bs64MOn/
bi7be23g1PQ70sEAj60u6eXgemyY14kvE4LROCNhMkXbkI7KciuKknSLVxU7zEDtKc9gFUWjWUab
3k5DICJNrFdCcAZZBTh15F5ULsY+K6XDI2Td28bIhhYUqoF69HBq3+bULbBD1MUxtYvkUOaZPOiy
p4lG6UWmiKvb1PGdbtXGXR9uSONxdCjZAyF6Tw6nPuFIWR1FUDinFBcz6LvGUSxjtnE9ZDJvGVVg
ycFGPBo/IwWdaVlHw680lMy9zIHLnJulVzW9CWiz+VyfAxAor4r50rhFKUExyBtew5VMJXAQQdPg
BjEle8m64n2YzfQ6lekTwBZIInHZH1ni5afnzcnJEbDrIBZ4j97sFNdmmon92BtLXVSKVjRVybGf
DIP7igl1VxY7GEnzNuRHt7ViICZGK6MVQ7rhQVbc7PMwuA7qsTiJuEsxrFK6ETcQjDzy89wls2MF
3mbr+v30Mc61d05gasJGN42KHc3LAd5nBAGu8prGiLUybZRmpZtkXNUFrU/G0sbBlc5wyPsWloWa
Ow7s4GXiB89WPJt33qTGh7AvivDIPZU4rMlB4jZHJUTILIX6BEUxtMeBkcLJiwGzrEyCE7doV9z9
yjboKciT8OpPA25hbpPkidn3fUcXQCLi8E71MWxur/OdYFdN8IDVCPWYrpaSowJ5XpgnCK0pAVuO
wpgvM7QaJW5SyI8fBrG2XaQG4mlcNZeP1DPup5zsuemUu3W7YDznquxvO4sWdiIAPSc3ZwzgdIuB
2XtgIWWtSqpiX7U7eC91Y0n6RgZp3YdkQm89gTV+48qoPuAOKA5kCwcCGRohrDOBogGezO4VCWj2
gCRu2ZKniRsfH6nf6cKqEbKKRW3wvPSB3uzgAInQPHgcTXec6GA5oRnjmGn8+ppBS4cV65EyK4Ik
Q7/z0bzqgTLLOp/6G93xM7aYWbxzqtJ3bi179DIIHYGsbrvRurGnydrk8GegehaL7GPwI4OXs5aM
iK5D+D6Mzl23462eCNANUhJh4aRFY0EjhZy3GnDovDaakekoINKffha9cy2QZ66f1TXEuPEYN0z/
VxkHwoOG3QngdKQHZlYBgTR6a24zBZGbKU9UnXRK3eVODFYKXtxM/fsqLdSLlcukQ90p/GsAVPJt
FE7FVFA2HIl8ztYnt4n0eBwCTvlI2aQnt2ZvB9OHQ9TdfsQaMCyYlvq7AJmCxG61hO7PAc9+yD2S
7dB6NWJiB8ckW87+oNHoQKttJzd/2F4UheeqRo3buBObPwmzPGQG7QflFaH81F6bVj89gyu1Nq7u
yldLjE55lcDE20OCzLP13JEq3KWaZXrFEm3mW9/VxWuajsNeh5xn1yz2L7oNAZTYnboxBrN6hvDk
MmURHgpFUIzmtw/9Za+g0F+T1YR9mRjRru8yEp9gOu3b2hqnr4po/DvZ72Lty849jLxFrLBNjBbQ
NU9DKpAiCnMGcLUunLb+jvuuvgegEv3MDDUdcu5C33IY0ZiEyT9sRcCrKQSdnXE/xrarnlIDXCnp
dRXEmGKgpT9MqvV7zKRqXCgs/NFjzMhnA3cFG1+aVYV3iMSIK7bUGOivocU14kjoDka8KxaKkZXH
8xNDysUtktDjvXKI6STYFB0OyyRM4yUXG+bXI8Mntheq/BorYWg1a+y+oonq/cT1gLPQ0nVUxLeF
KouzDOC9Gs44YqZ2EBNsNp5VOajmSnsZMooOvWE/jWN5HedyeGYOHaNDhzC7Z0c0H1ryceh84pVY
qYF6042vW/sUY6iZd+RvFoRr0fjZIY+roVxHaTn9MB3ogVxGp/CLYmBmI02WEvJqfCjpeHDMKtxz
ocWBZ5bTxBQldZ2JkXZdPCjfV2JLHtdPThElvLTmaR2jc7LAp7c+/Yfc76g8PmbYKI9DI5zhunDq
4YBrirdAGeWphnDPHTwMiB1QXLgm+E8sbEi6B3/U3U4V0vxsu/nB6SkwZeIU6UdzzLkBIEXgDegy
6ROZpA1JrcSce58ynsxiQxGz9yq1q8O14+FpOXDr7pOtbr3ZWynqN2bW7Kxbk5eefsJFNp9dJuyP
Hff/HC7M1D1C6QxPLe/wCv6R82Cp1nk1VFieWLCdK0UPGHBFGdNlNV3PAGLGNdw7bkpuzux2vhId
Lyz6bzF/l0XtkCW1nWniW1QksdOkBBXEeJQbNuMJOe3oKDKqvVM49u8cnCa9a4ygnO7t2Eye3cTu
l3/dDE65VXrxPmUW9JyNGesdkYCO6Xi9OECZWnW3Bswu6uJ6Eb42RVgeLIaDRHdpfbMPCIcAJSMj
ioBLJpzXVjR80MKlcsUvOnUwD90qEBndNuhVgW6bm7cygxmLK0AjNMp+qjhDwGPcYP/Q721Zlbda
zMamjiMYQXHsqkc1O8YntHFXrMHn+XCWY0R/0yzxJiSFaNu1KJzylk/dXkWJYaqD15j4EvIEuKIq
EhP1Jx5i2Bp4+fxDPXW4TaS2fXAd5Ae4PpkJC7Y3WwZqXVcO1/5oNjCHqo6xd+xazbeFoTin462v
r1TS2s3aGdofAcbtQ0Oq/Id2+hkHxUhZII42ssVrdqZ521CkuPQ3mvG7S/DgTDS5fzXSAqEDVFt2
3Vv1czC0rsCElcbW1seTdCqlyrZZ2WeasVD1bTo0sLsDwea5qusj6DF+57329M2YN/BFwPGDdqqR
LkudoWEUBO2nXZXr9i5LMa7R8wcFbVXYWYLw26JCpDqXQDbxNFpwy8XwNiUlQ1A46Vm8NejIOBlO
ED9r6kl+QqenYizqh6IGAFPPFnimikePTBooo042LasymvKqVVzmfMv2yHOLrFz3WkcvPZrMqrUT
uZfe4nxCXKfWBo4yGI49B9JDDqmHxHTGfM2ZSGky7IQHmI8Ex+yAuRWCsLPF1cYSmJY5nMQ0zLdO
3I1r9n3Wk5yn8ioO7OjQxUVzrvt4eGI2MKwLtLQNRVLje0g/fbFW0my/YtxjOGySxP4xlvUah9aW
JPX8Ttr0Zw8GCyHFjA8qEj0IzglljTlL4F5GxkzCIkztiEgJXX1TIiYwhNJ8sxx2o9ekrQ2IraPt
3tk9CHhoaQjctizQAuOuKazVwJy5ZaGt8q8mdkkS4vMBuezUKHJekBiMkOuwOUi2izVQ0fk40mP4
UIfp8BJ1GLncoRADQDZOmUZSnXrB0HbVdmizB0OVBM5lVeHrqEQ4PDH9Ym7ltl69t/28/CJfKN8E
Hm13UyKn/JSOgVcPfzj/9hjIe1YgU6y1aTe4DvJa3ZnNEJ4d08IpJFCm7igFlI+EpuiEiDyEacas
VfvhpT7JdgVP1KKpUE7vAXLyDx37vB1+x5DlxIvHwTCtkvoz9LR6cq3ePpP1E3flaKnnwA6QrOxG
42OCATuxzzKgXvepEe6ZNo4Hnh5IkLAD9bfTTWF6qGfgSXj6y5il1kf7g4wfoIBPNpPwTNHuLZam
xaIoKd00lB+/kXD2aKuAcrcqdLFMMmq7o2qwMqxP2nf1leUN8fUgyqUWPViOYD3gTOhus5AcDmxi
eJwJaS0MJ3VGvmTs2OI2M1aziMxwn1ROCbNiyD6zYfCvi8DMgNqObbXlZ8Zstg9SKlQwQcDAphY3
2lhR/aK8rD/xsjrrlEHDum9s68qysSYGaMKM0/WwZVWlhdAHdLzBQBY5mHgWX1A8T/FzFhfhdxw2
vNqSBoGvUbvZWTYuuEk/DcaSkJi0voDWU5Nl0qOZGrnA1sG9ccBSRVZqPMkISlY759kW0nhxa2dz
dVf7XiaIllJbDt+chaWpaWUhrbV2WSQ/w8KkRzLQ7gfFAfPXWLQEAJtgihfwefbViLoiZlXEjyjX
+ZuISvMR8xf3P5895IZC6mjY49NRTCR8sLlrXixT7DrTpYQnlZKi39jdjuXQ4QM0DkPAoaCqHjGj
FILapRk3MCkOIHKNDWkeL/ZpiquiXGsoddjC7OQwzhwuNtIrgDAxZ0i+PbvhsIiZctu6frnHBDfH
O5eus1PMCOkOzGFCHedgPGGeKB5ZL9pzbPMxOBkRxutzsBfwGzjeI/w9iYEOBH6hEdevdz9jtR1D
J35s6/nfRJr+welNXorYmO+FJsEm71dADKpoW9pNN+9zaWX3lFN1N06ydHxVln8FhsvfW0tP3F80
l7s/Yh//o9KMDtOqU//rf/4a14EdAHh7CYPgaBfWQtv5q4whUqueIz8f90MSF2dOGd0dVmESQmYG
3GqWeseVzDuqYWj/TfhhMa7/NYayfGVkEzzCxNnC8BLU+YuxvXHdwYcgOu9pCKB/MfCJkY+1Z5xo
fcpn+paj6vu/pbj/m6oXmDhLdvyfS3F3+pvQ1U8pp7+T4/74a/8ZkwAm5C7CGyTMP4hNf8Yk3N8I
PS7xsj/7XnjE/pTjLIobHUEgEkuwFwbCQST7Mydhmb8toQo0QpsROhLwf6mD8deIncfKT4bDZEta
xrDBL0/x/24ToLXtPYJSrQKOCHGsGc+AeVrl7VKXG/rnprJ//OUn9X94gf7hMf7lS/8SlBWZ5ee5
qeDwOTlHq4TZapLNhyaPvoaWcea//mpi+SR/fWuWwKNFuY7twlVwhPglvpZFfUYuncLqPqPCPG6j
bh0iDm0g1+S7STVvZpxle37T7bYodLAN/Z5CkMZ0N/Cx32iGwmAxL8OM/A5z8bWbjWtbFy4+1Oi1
bSPBjwrcdFpnJ4v62O2//u6Bk/zDt084FogXkAlX8ED9koUEH8h4iADC1s07QmeAemhzR8Rja3WW
c9XsYsOb6MRGH7uDeJQ+OpF7K8ZltibYo03dvuUzygWetXfDqc6J7eyRAb5in2kaXqojkBDOqKCa
V6KkqaJayq/iIdh7dcK4KpjaY9wK8wmmMuDKqJAHQg0b5jsYKu6n2lxn1IL3bvLguNkhnoYvZoyr
fEhgjZebMeo70E75PW2QD00xkdL+npZmSUzzH2M6znt/oo+Rc7N/XcuQI7nV5Mcw0PooEq/aK+UV
Gzfgw4z0HTvSsveiEPGTl5v3TI9REEO+st32xVngl/jMys7f12GG6pB0bJRkDlYOliaQ1rjRN46l
09tJQuRyKPk4mH7OLudzHaO7ILxyKLqE1stS6oSZuhv6yKE9SzFuVXXwYZvCh/Gc1rcBJFSOp4v+
jM6GDSsKt+6QiK/Gnfufje7Mq946DSIZbgZzZp5nBkrtgNzXO9cT81Wl+RImQGinr6ydUfnNd5pm
32lce8eBizgWGqZTjmfdG6qRiM/JVZQX75SYXbW05MU9nBafX42rJolljL/QZBGX+DLKIFSp9poL
2HbU9ZNf8Pv+1w+kWFT6v75OHDWQUTwbTA7HQf9X3glAI6tlImdtdVFUhFPcua7WJNFJeDD4alAq
XPspTQUM5UQbH0nkLgrvMqiO0hbJ27efR9Gv50WyG7QOfo5USDxCpyr2yo3U2guV+YBdP3+lOllz
uYzM3y8f4b/nS/+mv2wBFLG6/PNN7eEz+1Rd8ln93Z72x9/6E58E78j3KCO7jIPsJUL+x5bmhb85
UH2WmCwQHOev9CTb/M0ipcdzi3a9oAtZ7/8W/bN/42Fi+OTaNiVnJtHnv9W3/bmP0Pz2T6k/gffr
s8nZaDkiBRyOfPa0S8PZXw5ItdmMBvqy2pmlVxZ7I1rG46JwGZWrkJeLB5QBOhKL8vbhZbDe8j5W
m3KZtysJI3RVijg4iT63d4M92mcP+1u6Li/Den+Q6BzzZYif6VLoMz1PO5rdGfLnrT90+0naWAD6
ns4ItBhsURQuRddaDmDFU1ovjknIC73Vuix5UaYsf5/TcRw2FlaheEvoByGSPAeGc7OK4vMY9N6X
jQqxjX1MC2MfBndzbs3XrREYNGfM+TrUeb1tWp0/9LAnfvTCND6ni/3BLCLvq8y76k2gAMk1Y+1l
yOJGZLBjB/dEb/rZa0HgnaDjxVnRDJgn94CTxke1uC7SiwHDXLwY09REm2aexnc7cLBqDJXZYKxG
KMAqdDFzXIwdxNgSc1NcDB/exfzRlymjpV4yA19RUd/cltJqoZxaOqRTYDGQEGZi1U8vxpKBUweK
HGM2QBiW+x4Q+sDmMiTkjZ2wWoIGdkHj2sWyYviLfSXoSRrsFWqPdaSoVq4x4+lXrTu0JNF1SpzN
vFismqMsdy3TtC+700iEFDTfFYtpJrGs8TnUZIsWyw1i08CN9KrJZ5IddjOM1JMOzQu7AC6uixmn
dClgQzlvuQWbs3ZfkotzB8N5vGnBvC8uU6d+sLw4o3WENMBLP3TFXdW0yT3ZkAykBoYuKLYYhOzF
KpT9YRvCHegHWJUXP1GwWIt01/TyyrMGy1hz48V9hJwxiQON9tmne/EnhRevksXtHg1DmhW/M4wb
q5KI7pNqe3SVKPDo4bCcDHdVU6suwv+5WKLCizvqYpQC5T2+c0YKzjjkcHsyr8RU1V8MVpQHo6iB
4cRHSzaisveUyS4urCGzm213cWeZcJZJ64X6zIRG3Gs1BM95ptCC4Ln3cGoUXOOwL+e76OL6wnBZ
s31S+ZUupjAK5LvT2OPM2xcYKqiftoLqnarw/ORfXGVWLb0fTWf6G+viOkOM7K7SaPLIEo34FKVb
DVtsi957GGecH0sLYPka2BkRiqYHU7nG3YcJFNP7MbChnuxqSSzPrLEFUdZmYIurhy5+cGYR0kWR
ZOGbOaTtK8Cy4MvrA4eezr5DhTT4x+Fi5Fifg1fdp6Qra3tw8OdZzieJNM+8jYlBeAjyi4UvXNx8
Lc3hE1My7VzJHnviCsN8lO3sxQXogob8SrI4IJp2sQnKi2UQbL+2D/kksBLGuJHBPjOS0sCfSR+c
qKTGeoiNhoF0wiWhX49UscF+/sOqeLEtkk8dsCyPjrURF2NjGHCBX3G9X458ZjdhEIH8BjCIB/az
doz0M7+YJMXil5wW52S2eCgr3nAAU6ZKfkgPFIe/uC1H05xfklB7OEQXR6ZcvJkgQrFpjhfLZry4
N40ZiGNWwQYAHR6eA+TSZ54ouDQl6cLoYgJlM5necz0VN8SxMYkiOzpURMLg3DMNqDhU+ZQnSUZI
YP5b8j+4TauL8VRnllan8mJIjQtvfmSxccsnBtcAEjIjuBEXH6vnt/JKwbN8w3SOzzXoAjyvZlEa
r+1ihMU+ZP6u4dgiZWUNTtm2azHs8H6fTVPU353d4qvNLx5bsm958OJcvLf64sPVjHZ9qu4Wf+7g
uPCRyWTj25WLhddfzLzBxddrLRbfcjH7Ohffr7pYgPECxx2mYHuxB3ei0Z/FYhnWi3lYLDZien6M
R+fiLcbdw5AF5x8TPaLEYkvTXP/JIMD2DuliTw5zgyl4j/hypC4J+/JiZO7o62u2Vj0EEMvtujrI
qHPSR9MpR2pt5ih9aTEmmSudBAW1dqF9zEeBbzp35gYGyWBa3zqicoGBkP1hGH15JyjKpkkcs32B
ezu9K5OuZEERsbu0YA3VR7YYtxncjRQWLHZuDKNwyVJZB1tjZp5Lapeysad4sYHjHBRMuktS3+4f
PnFFSH8dZWANEV3rjhRvhKucgpWSZODiNXf7iemqO0d3+uJFp44BXzogDVYtZ7Grq8W4Pth5dCBS
Z+5EGRZrZzG403Q/nigzFIdYwyAndZcQhAr6bYOhgdN1p9/VpIaIeoQlqOaQPEXk5z00GKECsXV7
ad9iInzQpI029D+81jG3ZCImBpdXdLg6daNTakuNNU4532OSmccYR98aIka77vpm2jhTShSAuyKQ
wJ8E2L4oXDL2VkrjZheR+l9rlVo0Bcaj89rlKa50Cq14ahNXESMVtTPYR5jJub2eGBg2x8Ehs75i
EEao0jboxCYTMNnMGJgNzTs6JfBujknwXdctZUbC6qyXBKf4vGqIP7qHAePeeIMOX31HuEiQ+HuO
Ok6CPxfLoKrPTpdhTKN5hFllZmxF3xLlTsj7oCMGG7AQvqLsOc2OcMDMbULb90Pu4rZ3+6jY0JhJ
bImSs9+DNOpoiLFhk8+T+jKIc665kDopoJKFMu64kXfjezXT6HCorG1eFTNYXVnlYLSy2jCeHXJ3
7Soa+rReB8xqqo1o036+aRd3yLbkgYGf0iDvb+OoszHny3g8Nqlh37S46lJsc3bMRMbSNhJ3At09
nG31M1ju7qVXDBeYWHEsSxXaa1aE3sdibwa384xjmmyuDKkKa8KzCX5hWneWTr7KRtlXrpQA2yPm
dSi6ncdBJaynD26JXbYhLcmkl8avuYMaF80+5mmLKDxtTJxDY4TXfTm5XDxzfsrXliRivtK57Xsr
MXpXeYmFA5U4GFY1jsUXDlF4aEDdiR+qneSbrrvkqgAZlWwqEZBRYVMab2Luz+wkocSh7FtuZK2U
bWW32rcw9Nqe2xFJM5J5Q+ef9M59nJZHV1oBo1EWOxz5ctn9cFqQBBkvDGiE/WsinKmglyMINqVb
ePcDveMvNgqPj9Sd1seAGOdbNrQ6O1Cv294D/I1reMVCTltNcYE+pzURr1tpRfH1mCkCXjauwk/U
r/ZewIV8iJT0cXMJr5OruJ/thrVS8Jz0Lrp6bhfaxChP30kw4Pwi2T6sDA6m927sDicd8eNZ0xg+
L5Wns/uS00rIGlkn2NVTkwjyNkicoHyN3az+iZaCfzVnOsIfGZbTUZY0M5kd3RWfHBSiB+qhcNME
BENoK2op+eK1CeNyS/O6T56rzYhYsUBP5HmzpHvJI8fiXssefavrKTpVuu+3vALyZ6ld62HI+4SS
pyYs7pN5NJ4FyO0X0Y/uXvRh+FPTfPM8GcFwAoBuvE90mLbrqM3m+6HO9DvrL8cFp+0E9QOB+g/e
zmy5cSTbsl+EMkyOwaytH0iAM0WRGkKKF5giFIEZcIwO4OvvYlbe7syoqsy+L50POUpJkATc/Zyz
99oZavL7BFuVurfXcSd+qdOZMfrAHvPFgTXcEyqM74VFQM/yLYEaOMFs38K5H5OpWnBS1okMgdPA
KaZjvtLuPE7/B8cdKdDrMbH2aWcSVNPouUBHkPwmXEqSZt5GVhKnh6V38qMYbPpBg31X46YZ5MGA
CCb/51iN5feu9byG7uFATExHLfUKaTPBBJSoqTW2OrKWe/Jim9gH9HeIiSz8PNlGLEqNAHyq2tc+
6rZzdzM2Ag8k7UJW3D6psoUJ5jJS7gSoCmvvrZmU4d0E3gv4uNxpEO8IvRUuWW7Dh8Dv0M2xk21U
jymCsGM3jDE+a9upsp29xfPEjbkw3T+haJfM9S17tB7QhXFgxfrKRMUTzzr7zXLIozm65j5ngseC
ELEqZkcgDOgEMQXaQ1KqoQhLLx5CUwc5bK2tchypVAp0iHMKfaJpmnOy1ByPsKsP2P4MWdoP0M2q
6CDIj08unnIHNF9wndQu69I+mPDhX5FsNRriQM4kz3NBgvDWb2ZhbbppSdK9IEwFt04s23KHTmye
N1hd544opln/8NMsd1ZyHkT0NXdicgFdIp3cU8xoOoIdkirUXgy9cH6Y6NxTDFhzGiX3VBL9q+WM
jJzavlXDugHBh0JZzP6J7btRu9wzhoM9lwZmJNEZO5BgwMCZLguOgc70lFRYvPZzCnJjk7QomVeV
PcTZmWC7O0YN5gw+7tzsNni9Ry3oY+VsMe370QGk/ITgAs1gs/aryI0OVTPMjYnxwNTnFTsD5kRN
c4rufco5bstmmstzce+So1xEfMhUmFGYPFQ6DIwduoX7NEqUbvLKJuV0e9yqFcccXanTqCz0sas0
7cbyBYG9nX0zeIbrazz0MxpniV4yaSJUJ3rnjI9Z4/vvGYc7TDdzLwGA8XYwAbXpvOyMGBnYMdFs
8l48GLj2atHcfuOabeMAMW+1I2P4dz/TIsIBIA8/gptnT7Qj+VWzJh+Zv748Zl18y8YG8Geb5vBL
mScxxFusEUfL5EhG+QAYjyY6C2x4CLd+LilnvT2BXvhtaDEgTu2LZP5OOI9lMXSCBsbZfuwgNmAX
HJCrrQcnttj/xVzuR6vRbOKei9sQwwkmTok4xHjiieXUQn8uiIhzddaxFo/fOtcb7vgYT3fYhdoS
KxelcLFLu5axZzfCTexiK+b78JZMrEgGNS6zYxXmmZD2kdirodAB/VajrgVNVsNcr0lyhKPT6ndN
WOV+Niz9aTg1ZvfSoQ3g8cpk+1FqTrVHOK+BTSb61JUFeT99uRgOyBwBP2gphXURpEPcwPrbW9Lg
S1IaZn2Ba8PH4SinZWo59c988v7O9mOSw/vaRRuplm4v9Wr6wCccv85z2n+ZEftmW8xG5mG0DHc/
IBU21oPH5DLGUiTXOToIfe3WsNMCcqykjhk204oHfxhQSoKTKf2Nxht7bfCGHD1ngSYyQRxQNNIj
1QSSYj/o2shpgh4cDGQ2fO5joID3sGI3vvPPicH/t+7m/YW+12CT0hgj3//+X7+/8D3I5E//EP42
R7sOP9r59qND2vLfnbr7T/6//sffo1H+pnF5D0kxLZp9/7l1uR2yj/aj/2Pj8v/81u+tS/sfMECZ
djk0G1mQ7/Lz33uX3j/gxLBEm79nq9Cg/G91vP0PYE/M2mh0e8KgO/9/e5f3tqbLamEwU/qNM/4/
6V3eZ15/7KoTb8JAWUfHwiEOKOovJFTfTEenw1UbEr4IZmpZ5vlLYjrTwx8+lN9bpn+cXf86etOZ
Wdt3GQfTcuw0v6Wg/KFB2jkE+6i4ItDUzsevPJkQlCBSUTr2+biNob7+08vxH3uy/wK3vL+iw9qH
vEv3LcO7X9EfXtEvl9wbyLMNXWPyUTaWeKc4F7N5EpRg0XolQffJo4m66yPvNijdR6rDb32tZotD
AzbJQ+ck1sFoRjM0lwHLOQqVMymny8lA1PU3tGGDDvYvX8SdU4evAk+E7uru/Yv6w/VmrpbPaqpc
0jHq8lONdHs61+DPZIb5ASuKt1Kxi9It9erPttZJT5089TrHZFGLobZ/xsOQv4Cb6A8x4vh/ji7+
48dp/ut9wuXRLHcBo9Ju9+4d8D9cHpluusz82QkHQ9rndAHAuE5FbQVup5LjjIuvhggj6yP7/RTq
GhKtPsZewDV7u2Sy3S/mHJcX9NhHw5B7PdGunA9oukXj4LF2NmP+btmEezL7ah+L2qy/DbGRU6w0
8vbX9+Jvk8s/3/MerXoeIdNimsRf//xevHRRej9YIpRYME+c6YmbnCYzDibJpEuhSs/XpaWLUKs7
9Vk5CvxEUVYc3qvyLlF2fO06TFP/7nCC02gbVqcy18TbZORY18TZbVMzIJMVn1ihxZfKGsZ9Xyc4
TeLsXQrALGkk3nzRWw+9BneimmljpeNOzk65z9vCeTDwwZ4gp2AYZZgH0tMkwW2D0JDYHuSHtGGw
aJmFss6t1JNPDxvfsqLMlEfhNMu5z3D106Qz9WNb6uSGZKbmwyBapuztrz/LX6f5PGXQg1ncWIow
1/w6lGsLReqr2YiwEpZ5tLRy+QSb7ZxsBhI3c7oDiapa+XS0dZ1uEYf/4K8v4F/yk7gCZDHIGpi1
G/jofnnOpXtPiO1mEeLSLi+1nlebOlP6CUnD1rWMn1oGLn6Y0wm15+Ql5W7gon86TdF+s5kenhsK
snKFXdXdq5r8bheDHh2BilBDjQzCx5qI2904dvF0jMnZ/vQHZTwNaLiPfjFpb4Ch4pNkzA0cQqaY
YGN9OtEryDY9wt2/uXONf/MUsjTc9yRSLATP4p/vXOkBosNB7IRd3owPMaOg6P7dQppiX3nUZsff
NMzEVpRmy7VtvPhoScFkCGym3BmL7b2ITsw/WhXr/0Ntxf1GALCJHpE/dFKl/nxlRTyXYyGUCDE0
YFBv658kM+ztHg2WO41/k8/1bz4Gz/YRJehYugz2lD+/WM0GhfasFyGiP/dNr+f6voz8XWzIv1mR
//QqvywTBb59p7Nwn+bk8/7QSTo+zUN1N7z3iDr++jb+N+8IUTMIOipuAY7513ekAY6iohBh0bvj
q6EaezXRvPmbXdj8VbeGD46DAy4MlnBTx4/75w/OZMn15iJzkE20N9mZ8RrqyTZLwW6VUJbSC2KH
tTWpzwloEi037QLFIlqxn3hBZjFP4PBJtzmx66vTSUV7HGawmG4dM0DsTokeSqK7kH4ksM8wha8s
f2mDEkFaBn3yrz+yX78egTaFXAh2SuJqOFfd9St/2JEWe2Fo57RuSImD5G9IvZWDOCRYnFoL/vql
/uVjI9z3vvEZDgcYQ3i/3NzJQk6iOxDV5RZOfECWqe3I4xyPcYtJ0OqiYcdH7f/Ni3IUvK9df9yo
HJ0YHZQO94XNRcv1y9elzF6YpaGikOb1MzzYOrRir9360aTerKYm9tqYuhsYIuCt6t1F4rlx1Wx+
ZDG2nV5PAIpC5nE9d2VFzmMnqSFYW/D4tHJb9BWYmih9j8zuvR4NulZIuRGhdKuupEHZFNASXDXt
RT5ShLqd/ogBBR4silIftBXSXVFoq1Sf9Q09NoFxj65i3OonaWrFxiWlb+VHpsYss7wOTeKvMDlJ
9oHb7Oa0fNnpbO8JFtFwWZwPWy6fFbCQS0WRFQBtjN+6WhsuGp2vjaJWDaIFrAgeOwBeWMO2RepQ
WpdNkb3Pi2YQP4mCee1P3fhp0onc2glSGhAAlv0+paa38fXyWcrxsfW2EPJoIcXGd7oMbSgi4kah
HEIFFCJdKGpFuxEQv8IKs+duKkS5Nue2BJGZwVKbHBrjZga31SArjtHkYP6Ahuidy9LtNniPDJoX
uYrWDMiicFGOWwYRm8TXvGNYmBLbhx6aIJ3CeRIypQHfWOikIfvaxXppkvnY4ii6RsnYrN10DicL
8A0iaxRRCwIkaxc5zwOQhnmyg342CbtV1ilXwzNF94+M0+VrendaWUtVhr43fimT5tDBL990Qz+e
IyLkXpsss65j3mLWnmVd8v8qyJv1F3/lW8219JfXKR7ujEqIU71sW6AoscZMwsNeZGj9eGmnZdoa
NMkee7D1n1XH1za09+5GlMQ/kWb723iJup2OWvRKoJzxRnp5gSvAwrpI0OkG5oP3WNelvGo5FBBs
Cnoi1qXZzEGX4UsrIKldLYAgL9LM/DXQ3PlZSyK5lRDCH0AyxQTTtNot56D1MGTwfjKA0YFBCgqv
7MiHaNGGMFeTHg7EpX9okdHuawd6nNmS7Zzw7e0WBFvXZCi+taM7f8vu71Dp94D4aHzUY3u71M+6
QfYpZpxLE83nSHO7baZnimF/Xn+PIoNhjs4t2aDh5gDuGYHXkMOoQfwJepRtREgzyamnWFzdRiUP
OSrkQJfU+DWwvJ+e3kFnoKN7KOmnXSrh/Uga8V4BrvNXpEfJaNWa6fTF7dx6Z8dKW80zLN8Ebchq
6JIFZjQKhaGNv7Sy+yJ9ReRgL4z2W1Eb/Wvs5c6uBIK89a0ZnUZUmSBdVHdqIc8Erd86u6yVxabV
vDgUFhcF2rpC5lZp55SrCnBD88N5dWOFReJfNmpv9JYT8lMwAV11irrxhyXiY1FP+KrICqqIObFw
caUJP4Az8Wmkdx9CENM2OSLJS9TJnJmg5j1Zw/ytgyZ/K1rlXJge04QvK5qsVgpBsRSPi9St65CU
fCfmgGI96RQdQBBlPFR9skl8hcCFkclkgmJzM1ovucVQOJ4JcRTRkrz01m+phXI56jpIDVE33XoW
rI7QcWc2iIZMByNBkzRUA/MIoR6ItiyuYq7VuRdaGWqy7QOAwVthp+8Npq0Njd0KsyjjoF5vA+a3
QP1IHn2oc8bNszaZ3wlBI2regxfW+IhR0jxuHk2t9AFKUto5G6u0X8HvCNbAmAlAklQBk13gqfpw
i6P5aJQjPeFuj+D/Ocrzincs86ul07kq5tT81BHu3+SYcdL31EKAYGfSNG6XKgsmMC4tMQ9BJZNl
BxHyyYgAvkIUX2HwIfLLJXhlkSRTt+a3amyOCVzgws6/VSmQq7Qa7a2SjrltNf2pJi+zS6bxXDFO
O6mhzvC16LJ762mlBrJRVfQ1pjwbV0lUups5myHeoT4/9hCp12ZphVOXxw8DVllMVspYJ8paTPpY
pIFj92bYmCKoWaFktDeODygbB/WBY0e9rbMsP8LPGB81I202TFHQjNa1PAinq2+201yTHHB4XdCv
T+22/lhaPd8akZu+3tFAYT/Z6QmDkPXGVZNPOuTioSI6agu2Y9km9DQ/fEPLDo2nDyvXYedszRmy
cin93ZgOw1ri1DnNBZrWLq7LvbREytIPbiRvc/2MGmfY9Bgmucfba2v8zBP6CCuHxM9nJsEVsaqJ
fDRVMd+cOPcIeClmsJtudtRtaw5tzE5fKhwqb0NB+qdvFsYNQUpD2qjNXpiY2dZuocN6tVjW2Pub
zdh47pskd2SfJn59yKyY7TaZH3UnB9eZW/EjnZ0+BORVnxSenGM/duIUWYMIk2jUn009Sa9F2lv7
FmXMiX7kEOp+Fp/H0uPvOn98IMz8U5ZN9gzhVF+nkHJ23KJhMwBqg4WwqZjZQAmjL5+t/ASu76qQ
HLsX15n3nX23grcHOVyEnoZl51QXVaTNKpaT168N6UShNnju2cLjdOuBIHziWS3fXHAJ0Pzs1znC
61QnOttf049bocbWX/ULXVHAEBUmWKc89HmDYs6y243tavfQ6gwmKiDjJ/DtNojtpfCxj8s7y9By
5UafbfJ0jKYOFrvkxo/6VkNwDdR5j0F6QYenf/Hs3n30+P3VMGnatfKz4rykzafTmUYISMHiBFy0
1VPVDg+AjnduZ/+svPYQ50v8KHLfCaaZVL1YJRltbT5nQnvEuoHmv6IdRYoPwKg4WnNQizZtVCpE
UAbM01Ez/Isy/OGCNCt+ocJzjFVVpMbGtytMvG43tg9kFUWvbusat7Ls9bPZK3mw4ng64wruPjuR
6hiHmiR5VhUXo+m2+MHE2P/upUl1yNHyAg7i9wwcjgEsq9ZYpRz6yPi6SwV/I8UChnZPCP1mbRUj
zQhb361usnKrfdJkIwzuCRphZmnySNb6uO1qyVzURdj0okWcSbIEqUtQC/brkfYPkbwOHFtbSTj1
3tBEz7Y0EDcZBcKBTpXxdm6A8XLOJIMQhZMJI60zwR8iIXlr3aWIg7YrmL/KhITUMBusxAG5nPkP
OcEzGzPXVGBRDE0sNpp4jxu2IFdGxbtjDu7Wh6SMHxn14kqp0sf530gunolYyXkms8JRag2JV422
XKacBmXQt528yDnpztmY3Upn+WajRRxKe9gkKNwOLXDNHRFNb4C3eKCX8i7+yaF1WEsdmnC2keuw
3TBqdzndtktzbxFNQVXSZJeFN5xMqzU2STQkG9fKokNJDnG8asto2o8JWYmldU9a8jfsrqQEWiVj
czJksqMGvOq1mhbmyp+L7d48ZT633vgBy3CPe+sroPa3xLTtXRlr5bUZdW/X6aRrwgpwT8Xo5X1Q
1GkZ1LrBfJQkBP+h1GUbuAIibllog0ErCtRh5onq7Iu2f9K6PA9gcJLfbksTRRJcRnuFR1l8TApu
15pLGB6bSMTXwp+eoqm0drVdVe8TyA3wEgqgGq0l9WPMov5pKd0Gbzpu90pKd1dpMz5ewbb3idB6
pPlqIHDBs78i711ueZKZ1/ZtffWIZ9iNeBjvHGFjBUvXC50aIP069g9Wlcsr0jN/Xhk+I6KxS+Xe
RXP3qrcpm47nMVUiZVNIbJkLNaue4lhmMp/+5HfAHLYlZO5m1nAwc4zBhrwsnXbIlZfh8o+7i4uB
LgltWq1ha/qE59qJJlYpYNoNCFJ3m/k6ZsXUrq21kZrapup870mbXAoGl6bhCxDj+p2CXT/SIai3
aCl8Hu7B3xJZzQA9Wq5GphB24A/uaTpuJqvXP3iGzXC2VLTLB2951EZ9CCfXJ0Rvgm62typPO+uJ
FaFEmdr8XDAUvLQcPkKR5GS1GUW9HSIvDVLCxo5l7L0Uo34wy67+tgwxLOqkSZ7sUaufFmFp6wHF
/DUtWU670neu2H/0r4ko/NuAZPZsujrJxRAIvt+Xwq8l8gV0YGUj+Je5cWwzPM8y0/wXd+n7Zzf3
cz8Y+vQ7C0vxkIxqelH6nIIMd3EYGFCpvt49p7yHJN8lQONPRZ/GD8YSI89o4WfUmbT2uBf6h9Qo
azIqzPhLKofoIgkh4AGihagcLz2WHNi+EAhhLauWMf+WM4+UIb4TLQRq5u+a0R37e5chvdCYG19z
m8bcpM3loQZ74jO5Vd0V8aBLO2Vp513Fee3oFL3zAzooDt8lq9Krxa16Bc4IpGalKdPcC5f6OCmo
Jnc5Rt0ZarxClZB51S6pVPal68r2vcmw3IaWzuAAocai+wGH8+xlwD4VmB7uBJscDjh0ZUlh48Wl
fmqSMXnAs1yFhqjlDiz2uNIsg3CqOWkf2SazDabHwuIpuYcMzN5MnklVvWipVqxRSgiSc5eI4rDq
H3J3urqRR5qqN+bDTvIWiHbxZAWBbcDazYCVo2U+exhNfK1h1jHFnrgBbEkDt804hUQmKVANjPkX
ZFn0K3Wd8x3/ufleyGgKx2U0L8ZYIgDROPA8RK2G3i+JsvdKwNkNI0OQlFdXtkpvpNb32wLjuB5o
y8ywuLY7VoZ4vvFGaaHLdtIoqkoLCG9PLrDrlLvc0nTrtYyi7ueIR4bSmsZdBSAeqBfuphlpjc8o
n0F0ZLhzUMygLsAbNpp20QVK4aMxI5wKJyHeCCopd3LxrFuxWP4u1VIY4tD70cRxws9qnnYhkbLV
pUJApxqWgmUZIDXmqY9fuQJm0NfEzgh38WSI4HQ2T3SpI33tpDCuHdThxIOpRtsTVlWfc8vvXtJR
ZGvA2Q6oY5c6TfOmnyi0EAJQe99DZerymzDkuOlkwRY5s8NigkZmcirdcvliIkv9mdAHOgM00T55
6837ECkEIF4k+wNbIcsA341dhfNQeu2D8OL5oasdQGresIDKFKN+ohsWs56PiH2DERVn0ES1vKQI
yB5qXWRfKS0pF13VeN8y6FA0t1m4v2Bww5XvWeqY9QnZHQruRLPylSPfu4acuULa0RsjJZ6rsYBF
46T1E3gb7xS1Is43mmd9K0waUKoDj93bDE/oZ26B+B3yXGGrWWiBrapFi28k2xTPE1q9jaXL+CgT
z7jkItd+S49uUbmOVbeZq6Xfz2VjhlJL2z4szbr9YmXOuMvYvl7jHEUdKzxBKrwTozsQOpt/1ByX
QqVqVK5Sj4+NNxiPEvIuOUL4DbzVZAIDXTOBj6r1NM1RFxAQzC45jcs5MwwKA6rhb6ZovD3d1Ri7
xfSjM8Yfbae96JQAqyJLjT3T+CnwQOlsED6CCxPV8NoCIj54PmK8zI7THyPm9nS1IIR6oLPFzlBy
sF55mgkTjMge2qAtwIplktoPQjwiuWK29rMzhergyKZGtbIRjvi3KbETETomAqnVMiKohTKgozzR
rRl1Az78tR3x5lB4UYIvr6JtR+aBi/qWahKS9OhN/WWK3EeUgOLc311evK0oSPupo6OTW8Nx7Akn
bRVsMZ6Od53/C0I/aJQBhUm+dfqZcAeWiClo5+WrN9CHi7d+ab+7qN4ueuNabx1v/eCxDYMurfo9
M646pLtkvbI7IZdNiHvNolk8aMYEjbeCWaOK3Asa3CJJVTZH30FxFfWN/JyLiXZbOWikbFLralMm
11YDT3UdVbO7vtvW+QgNse840gLyZrNS6KjYkpHvTFtc/dq21rsiAP1X4+oYTAmTUas22APdfe2a
MWzeJDaICka3Tysj8wOVeZO+hi+zX4zuVkZt8miY9AV9dB7UgIN1jiJEGsDGQ+yAJGZ7Xj3v+MZ7
BW3QZuiKUgrxqX+sR/9NaZYLWd9BKDm3KDS8Bc0nyuNAsPcehsyxzh7Qj8DjuPI2QgM43tFXeChq
GYJeV+t0xIFAuJw6Y3sEI9Dr2nx39zOtq6ivri44yI09qvHYkkjzPW5hiMoiateInKdLTqL4S4kQ
9xm77HLTtNh9ZV5fUxKlEXpoe2is0IsxwBdOZliBXfXeqwfJhB5sYT4RDY7DD9XVmhJI7o0Fb6C0
iCXCJpStuyYfqzWIG0IA7alMt8gAuy3bdEYOgYtIXsux8AR+Yscct+bxK8toQ9ySRgDLxq8VR/to
Sfs9U2hvAcvcyHLTYRa49QaZBQXHe7g5tEdIKJlMYHW+UNo1Lebsoanr6OA1JQljNSobpYRzInsI
QG9uVBs4k1Csxo4aqCucoCXs5zGd6seutKwXg9ypqjW/prUD+8AXK1E7UwohZGzCe/gYQqPWWfdz
cXaGSOziONFvsv4N/m55h3JWxTnt8ucqActgFGPys8Hp9eS2tv2MvynapxxBQq0ZnyJobCzSjrqp
Uuk7bLg5ZBebPKISqmmcDbdIW2IoeGW57VC5ogCny0xD1zor5Ghb4ch+M3S/cQtY871WP+pxgTYw
QhtVtO52QBwfIO38CRt1+ZwXHe+IhkiQZAIcFou7Ghk85aks9/gDihDoRr51k47e0D3DjDvcAh1r
LclzPwybhXGo1VR8x4xsQyA23+2uXI6xUtbFG3rg0y1gILmC0rqr6D9t7UgfNjVZWjgme9NDaHdp
QJNgS8gl+B/RDZtsdklB7Rkty1BvUHW2qEWkFvpZ9QAMZHgvffE5eFq8HTRyh+aq56c9hLuD3pKI
5JzMpd9pkvquRn4OyT+50PutmR2UW8h011oT+jdUsYqliXLYVOVEO3+cjzTAXnLfpq2gEzI6k7uT
pjT7xkHuLdIiYjhH1BJT8Wn1UbrOrfbrssQnUhxRRMZpTT6jYcZIo6Rnsh1oYiMFJdAi0r1r4sJe
QS8t0WtWTLI4erhHoU05CX0UyA4A5VVtERjgkb9Dk5JyQhj+9LXCcniE0mIHyDop2u+OddbcQHeR
bgVFKr7VaGafHMiOWOgSE/GV0kxnY89ZvyvwtAEVsevkQEhM7myt0hDv7Who8UfEv+DxbKVD3esb
z5btYjOCN4jRbx5DNNtSotR1wsXzZp/EKkkrA03gNdLs6KmRmHXSwa/9reuZe8yPxJo0JgBvqGWr
aoRYtSPZJ/1A6siu6MInX7VQJbJnjQwRRo6GlfgfMcI/6OTCctc64X/R0UmpT9ZxjiHs3fez/OrH
WG33TJOzYo3g877ApdmpECMmxRySl2oQlc8OhoMhZj8kgzq5r6e+A7mmTW8Zev+nobdZbVk3qi1g
E3qaKiKRgvQ2x32XVTF8zLUpPknZIOfX9geI6D7n5o66bm1CiIRb25trr5mNfpcJtnskf3Qj0nik
Wowk6hLiwt5oFCO1NhVOwKl3D64j6OFrLi6LHlj6UjwAC8GmLRvgKua+K+UHgDAsao66CPZ3WGYX
S4uPXQZh3zYU3hg7ruKr4EBy5o5L3hFNN1TEzUp1sX5yZ+OzFdNwF7XKHUrelOnSTL5b5m/H0v8K
KvEmmunNjjqC6nhweeIXq9lPOa/lxf3d0lM/gGHw107LjV6mNBthP91FNsZwY++u2CFzumRZIcuQ
MoBKtQcZh3oTnfKPZSRMobWtbs2xZ19ViQUJOqJmskdyG9GxoO33O/V0TxJ6iQdJOEdq0aQuRPOA
A/RRL/JzZ2lRaEyuERheQpOC6JXojXqh1ENUaU3g5tayH8HzfMUy0pXr1pmn49Ija1yPIs84+KaM
hZueTbckTZdRxdqjXzBnsb+bdWMIdEodk/WnrB90BMtPjfINDlr0T1NdYzgisvcu1oztPLLi0lud
zmkt2sCMpuVtdqnawMn0I50Nh5vlgjz0TSnDusYLOv9N11vzV6mnOXxVxFq23ztvc7OglW8Y63Ek
AlpQZ7Ovn6dC05uV6/IxoAfTELl3cXSxaA19pzalClmyCPBmjNsdHDI68V5LXDiwiOxfKOFSlJXt
FqvcmkAg/Wj7GvOCbsxfcLXu2kEqGDbqte/Khk8wfmGAvMX14+4KZkmowFuMtnDgE3ibgh53pl2s
mJEi60r6gmKUHCZPUpmM3GirwtHbn9WSPsjGxTGSzluEvkF1Z305uWLLppG/XryUDnwiw8QEvdMh
dMHfYkJR9OfSpMZHjOIEtki/mQO+IESNUu1K6s83GH/0Vh27gepqNp9VTj82mExuEIWBNl2VjT8+
FQJA5Lox+nyXR+Bm/WVxT24C+RrTSNduB5p1AJ6gFnJdbrMaKye+Jk3+AOiVk8Uo0wOTE0YOZlns
ptbHLNDiR4FvUarltgBdgohgKNCziWfuPCz5BKjVA+OEOcveEByn3xejBamLtuXJkVh8OBfK9ChA
zmHOcsfHHhTCajQjCrna1I5Y2yQlU1Pb+9Yc7WrtCJU/KM4xh3GOSLsbOmkzTUumOzWqqHnYgZza
ger5yNeaObxCxkuoPxYyQpyx3Sp8hBzrzL3jSrZBlYit6DhBrShKzTMVXL1KWqaKY9A0y7WSn12W
aj/gvWnr1h20U34/8arFTG/o9eoHyx8HOMRF9pgtC1Y6I7NAaHjLq52Ybuj5mgi8cSFcWgjwrUsH
Ui+vpzWgPtatysxPyIwQk7t3ql/UqCMrLhY3znKbgVV661g5c3+4qUzGmsj4UtBuOERMgQKZ+1h3
Ugs/GY7hM2FG4jvWdhwbdPXYPPLsHipgC8xlSsvW4OZVQA/JCvTEIFwx1/o3EhvFk8H9eU2kwa0U
W5hZ7aW+CZRSq5o51JqdpwsyFlkaVCPWD5wddFPyOQ28XBAtWcp8O3RO/6WJWOtq3WKgryqUbfco
N95xqQ3JeKf1M1mK3b4L3Tr5DtjGfBewui6z2TUB40QNXoVnrkhiEWus+aQ46AjERV7U66yyZhTy
HltOXI98O6puvA9Nae9AH36QFGed8R0+ckPRraebBBuzzx4TGJhDMGTtvXK4x1o8+Auj6y3Qo27Y
1iyemArbbtxxWzccH+8idFV6yR5nRPziNno33zciIjdqnzTKtcYni2RgAcY6GtFOuGX73YzVyqLn
HrlWf2ng7O0rfYL7kmtjSxQN3LBV0qfRNaZZ9MTdlX7JK2m8KdMqAsftiHbTRLyJ6mi5OFVdrBsX
r+QqmslW6gtDf0N12b/kOIoD7EcN7fDF8PZJS4Qoqq34hx8vXiAjgK6+s8xPDXllpwqc44bdoggd
t+0O1aTD5Fp0oH19bvxWJQ9r3HrNUcuovsiiKQ5ijo09sZ59d99DrPUCi3/zX9ydWW/cSLqm/0pj
rocFMkgGyQHm4uRCpqSULNmSS/YNIdkWl+C+k79+HmYVeqy0W0ID5wBnBo02yrAtbhFffMu7tOgr
3tBo6S6WWGlPKorkZ7Ml0S4okg6tFmMMIZ04mJI08Y0OM1cx9d81rxYX0EOgjTlilNk2NpJjuIzT
LSsyW4Wlmy+lHNJvuHbSS0dm7JPjiAHJL+qdajczPgbBgBIl+qpTyq+KLsn9HIVev2W4gdePPnTt
J2PK2xtLlbV9o7vFcImSSAF2SRt72L5ecqgTVPC6Rem3s4kwLjVEbhw8I872lezAqKxCAg76Pfch
Evo3cYX4iDAcmjZI/rGf2XoweRhiukv2EEP5t2sNCNXSltdaqT04hfbDBNp5n1da/bHsrRBrhilZ
s9pyQFg1+axrzfBhRpjv3sTS+KM2D+UuTe/QZ858bBn7R1XK9tZGseFRC1HqTAGiXJll4m57J+wf
CSuPqP6Z17O25gdjrm7QqRNXRdbqQRbF+S2S2moLr1V9H4YQNswocHDOh4RSRSc6ALA6UBsm0baG
VBhjOGfZF5nT1sHQuMuXPKobyC3zIr7lpkY+1la6tsnIk6/SBCtfOE70ZVeJ43b1QIkqXF1ra4VG
FL1LaIqqi7yS9H1kFzSm019WY1hu0UwzHm0vgybqclfQVZLcuKPZmlwNS2f69GxTfqoz+WWlq4sI
QvBt5dTtPke7aIfGonsFPwpQbPEy0q+RE2dGhqxyQBqNTPKMJS52jrG+Ddu0ONSSrrF0oy9uHH8H
pfTDpdu6jZhiJ6HhTw4QtRrZv6Cqyx9KqnLjSS3AnAgrkVkR/GYLrc/hGDXRcXTKz0j6ISa6OLtp
NaTUDJx12yjes2W3vWFhMOIYF9lQfZohLYEY2jr6EMMxQ6vcHhMQCEyFOkQfGGS5Pe2eHOpfJLTD
oteXmWkd+nQ+QtPIgtmQTIT4kYfWxdjH6nAAZ+KeUEz2ffrVgVLhaw6MJ9dJ1CfB/OveLqgYVx3G
jUSaPPifS4mlX8Pofu+oLnrS4ti6rgtT9xc3UkHRJu3DCTH3n00G+X/JxF434HW9rWOzRcIGtaSn
Jv6ZD0Kl+fe//JsQIv9wXR1FLdRiVk8EF2DpX4QQBxE2JJJ0XSIa5p1Ubv7mg6Bl43iGjmANajeY
h1gASP/WsuGPQLMb0B0w6TCkbsh/hw/yK28C0ACgSkgIOgYMljjDHPYxiDWM4edAjk39kNel81g7
RnTtCqLOBt+j6Uun6c+hMpofbmMy8uk59SQWe/3easdy7wxls8cYynts4Lddwp+MqCWS7DvMqf7P
/5Jl9v+dYwdrwQCP+hOKdSU//U1qunnKf/zv//Efxfen/Kn4ByvyHzfJt/L5qfnHRZvx2/bnxfnP
n/TX2vTMP2AkQQoyTLIuFhzr7K+16Yk/BJNzCUhZAEaFwPhPspJh/rHCU7HysCzL0VEQ/OfiZEHb
qHaB0UdEjuUr/y3tQGNlI/0EiEVYCZYBVCUbWhR7ASXCV5hfcwhtHfH1JnAJnhsN4XPaKzXNhtg7
DnX9ZJnTjWx74jDmDYop0OanV/gbGtO/uAHL9BiNmg4KoK9vAGPOymXI1gRhxA2Yy4S4DVYPGzMJ
9zEH57bH/xaNme6yx5RnA7uvfecWzmDPp1dAeID9ZbNB3XPp0dbChzbLszpo+mjeeIZz38cIi9fv
6a2ds2T+vpDkMmugEubZo0ognB3NZQBKJcYNEG493+mqxxKbPapKL9nO+AZuayDyGzpL+KmGenEE
CHdnFyshBggK8CAzfGpTe9w3k9A/mgrRmHXRgdyYGhiP5Rw0uQXHFrA4osaWs6dPSk+qxxsFoyi8
i3pxC22XlBiUMjR4+aUNcXpvWndnJXV4GRWau9FENQetvcTXc/iAF2eLuOCC17hr+0hGTTfg0V4M
c1H7dsieCy3H6bsJbxbX+zHE+Udzcf4KSt+m/xX9KH+3SNY3c7ZKWR0w/XgU3QbH83qRtC1ZRJlM
TRCPOVo0dv5cVK7aI13ArYVN5Zf413cyqbaLp55Lo8VjoaT3Aa5jMyclAE+3aHeAvDHmG5PPA932
d7DzK3Xh9R1yMQi0HBbIhKKo9/oOnaXQM2a+MMdMlHeTaf6SInvsAkDbhkKsYhxo+Tv14L1Dczid
Hq8vbNmQdICcw5Jew8jrCwO1cypQFGngtmTWbpelFw5SFQchYH1H2FOCJVgYMDeC2pEZC5gLpkSO
W7Dmsknss5ieEt4KdLjY9qYh1M4LgUFCFJ+DDCjKliLdAtOsoQXw9t4X4peXZkl6NB5ChBLWpH4m
iKn3HlARJwZPiHnortZwu45gVm/NwfuI+EC5V06XBV3Y5Tcg4MCGGRejYiy0YqHCXEJRXz+tRS5r
HyX4ww3K1iZjeh4ah3Bmf2iaUGct396+71+/tSUhDEn4A4L0wePU+Jkn0YlE0+kEZMGoNatTBXHL
RYPprxfdyAqAdd95OE9k4h3JRs6Ks1XGlS3hQe60Dd32zj52L/JwxCwkC8KhrdCa91yYA137Dk/i
d1cxUcMgp+LhiImvn6+gFWpqdZYF8ewUgYP0/mUTxs/vvMSTxvHZypXwcwSpnIGXlTj7+mXegPlK
hywoRfZCA52qQLbgahCXozC0iEOeRgcL2VH6eMaiLlEteTEia7mrlnRPFRSzo2dva1i0yqARavt4
AW6ZMV/1VToKRKi0ZAv8514DUupDSLnBvr2hMu4xeJwAYA6g6nzNHDt8QcEQARQN9IkQbBuT2Ca1
p+Fxx19rY9s46gxrNylEeLYH/96qXdD+C9qngskBSMBJO6RRVG4qkXh+0TObj73K8oVoP6Oxg+gP
9jegJ9PnfEmeQQ/eoYIRXoZQQDeWmb404LIPmFd5G90rDtrk6VT2uucDQnsBQ+du+pJjAUjmWo17
LDiD9V1E9LGGKkPajDVoqeihXqrFHzLvPmZxbLVOcd8m9jke2uIxtFtTdI+okXuAFThg5lmBdJ9s
EGta4+6mCVC7Wke0mZdaT4aO3FwjHLXLxuQZup67Q8FQbJG8qbeJsL8yJ0y3EfKJH4dyJCwnC7nC
IjVIPemLEfPQQ4S8UI6L1gZaE+Bg9UMqDvjRzI6Mzgbm7ZwtY1+1e8UZt8ODudvmjfboAI/eWSGe
4picuzvYV+G2t9rYJ5YVAaImz+YKaGWglmwRVhXgufGMya38aGfVp9Tw7utVqa7uAZ2r0I0DjhWT
sw9Brszk0xRt81EmCGblYG3JgYLQKZ4bvW0u2h4NEigH7d6b+Jr5TLBs6lSCG5J+XWcvdHfFSq69
AmF7teTqBU0pL5iQnNpFFg8KRhNnS6bgJiuQtoi7E7pzAwVZbA3MpQDWW2onemRww4p1jpCbRoeV
kwsbimoLDvYFrBsrli87O9GLDXFhq/Ta/jwotH2LyIW6ajGGncLoBS9pFgFmWxs9GV2q9/I4OS2m
hIpkIlvyZ5OO6IeeMohyAp4AQFEf2+xnaerlIZ6xlJGhc6932FM0pKdHmfakf+uHIXm5aSUoEjQq
+d26dueRZaNXzHVxJ+7AlybPLvBLRK7MO9PNvICh8LOrD6iOscKNjq1xWrgN+GNarBMEJlA4uK4E
+MneVx65Vkwb868tkLPCgJPcMekFYrI60FgQmK4LREA3fbImRBo/D4KLuXGB0m9Ng8/f6myXqi/1
jcDZ7TjqmraH25VsK5dFi2zO8+nGuV0Srb5YsJnmTKNWQ03Y7ts/0RPE0KrTidfVxFZz4uq69Lx6
nwx8Owdtof1SOxcGwHbEzSBeJZ2XbtNpOJYjo7ZUof63ImNQGs1eNKBLG8+x+Tc8B0tX/fWBc92+
E1n9CP8EOt2UvtSSu2bMBUWGBdY76qWbOMbcgUhQpBEXaPEG6TJOkAphUSCctAT7kZdIMUDKxuyF
drDH/No2Dq4tmBNi/L6DuufuCFRqL5fq0RYg2NfTydO5CINxz7cNK7wUMn1BnSi8FWnpw2JSuLwt
1r5piwqoiwCI7X0vMN7dmIKVW5AXbto2eUDsjpCn8XMHYq0CLLKzJztonOy5IwVcw9lc8CJimNan
oNTbhBdEKR4hJnEwYjYsSgmRIrPvqHcQt2ToS+MofZ61JN26ZoOBC4YQf+Vp8ZqwyMTE6YljB/Do
zekJUcZ6WbcEvrB361GALsJdV3Fjp29QCe8mybUR87sQv5LxCBLW3hrFumwKOG6hsPN9aTCfSS3j
aDfpi6qibN+A2mF0wmI8RToX6O7Wjt37craJqHLR9kST8UMLOXaPpSyNQHbmftQW/pVraYdMteFl
t36dSWPlIaF8XKICe9yUfThVy3R5isSQpUnEZAQYA68KdjBp1ry4yDqj27jhX0juxJ185kxrFsMH
6PFe9ZMS+TcUbZOb0tPVzl01SzwQ5FvWMD9+PVdgSwObW/N7Je07own34KvnwAyRYlVoC9LMVC/T
wt+MKyoJIg320HyqsWTRNR6BJ6OLCMyP6IOuFMNjWtCnr4u+KU7i7HAnJupTqBVBHfEDa/ho/in+
gjVZh+cxDnrKMDeaV+JHhx/Jfj3jkDAzkYRnVds9G8hZ1FFK7log/7dNK0PtTulwj/bUvh8B5mph
Nj+AtkUafYXXYp9jgthVz6e1giTRc+rGjO2m+1AHd6nshrHYwKteTxtMrzgYO7YA3onYhDlS7SQQ
0Y01oMFjdQ2uuQI4Wl8Vte8Mq8WNhOo24s0GAGHNz23HxyUIE5Wq5MCbu/qGKFlfJVbcXVgjlKTW
zuVmMuNpR4PU81WPGGNZeuEO8pu1QdcAukIY2/oBaeHoOcZyqyGdthJ/AL4IcCNB4sqhzYzf5Asy
fo9hU3T+RPH3TWOK+snM0uoKmTMYn1X3KYXaGVCKJYxpaejqlgE4LgeCrRwTz9reCHemueiHKKuR
3aKSG8poTQ2qAaskO2ZG0uerIirjVGsMNVZCjcDbWmOqmDy5Xpob04gtH6Nt4xJs2HOvZczOHSTY
cNI2twJ9HV8heX61NGynqiDYr5Vo6VRqxziBX1zATrY9xgdPw+kEQ068Xoo02cL57/YwcPQtvpnl
Bm8UixwF0fA4x0wcWSe030TzIwWvue9Q4dkYdZEddOCae7qFF51XP+K2hfHnOk4fTDleD+aK1gBY
z8QXXFWSWiGXh6xXdPwwhOD52UvBrM0wer/p7csM1dIoi8YfyOPFByiu4W6cQnAuAvVZZ9yn0Qw+
m+RZM2KCFs5ZYOXggGp1h0ySSDCMAr2PzrwO4cUqaeuHIgHml5gHLYUSZ7ajDiUFsIoub7VRbTVs
ozmOej9CjAfAGN80iq+1sblKSuIv+LMHQx8vG5m5G5dhHaFc+1FJFp8zCgWSzRBYcWtPQIGhhdeG
edEt1l2kUoHVj35sNFPtioiQqad9i7yUoa3TFbrjU86uXSufRVXg2xfCUtInL8ZUevAvyJ8M4Mm7
sojnB7Oz6vULL9sx4wSCIhO+jBhfMnRxs8/odFlX1qI/DqvTgGa0j0VIFyZXdfMtWgALcRL3+0U6
XaBKkuB4qhd/VGRM+gr336QaenqnOG5pCtQv5xwDFFwR7W6vDeBn+gqF6VPTwfZI7pjVqWuXFj2H
jHFn4seE2BrjlAaazhbIGdSWCDukcXxmsOsGqhjuYpcVE3o5flXFQNDkKFjvc3D1O4MGSdBKg7KQ
03rjkWb3Rvys7PJRV8xNBlu/a5llMZN2WKFxO10aBozGRF8nuE50W2TjESbpVwrI2tfh8l+1umge
ek19STnTIqwIajF7SJkQ1MSYqut05G5csiogNB3Z9RpOF7StriEhqN3gdpU/2u69meB8NedHEgzG
b87UkAWa11VDXgN96ciYU1I3wg7pxIgFwpR/8sS4H0S8+J3IeFbsnm+sMY1v9caoviQ67x5aC2Rp
5VxkFisMmy3tgDxlSYLFOwWlwXu2HPdzaRaoZ2nJeJ/XGg5QcPt2Yu2vJdGMAq2KMSMiroX4Ku5V
HU83mmaKfiO9NUiv9hGon5N7tx1Q35EcUyxDxfAmhU7UlIcsMgIwbu2F4aUvhRa/RJz2TcM5hPLz
TWRyn6cTHbhpwhmRPtfrWo1YJjew1KjyyAkorsU+NWdtr3HDG2s9M4u5zPLNWrUsEz0sEEZq10fN
Y5lz9AxjP37AQr7cCFvnYxddEXRofV/O9HzIdTIgnbJTH2sknRFiMPZapKOq7MRkd1T0+9Mp13Rl
cUwgmm09a3YBdHnGMaq4TCZYw1NsLl9zPPK+N8kEbIgZEx0QBlPw6iPkjlhN3hyGT9nY8lOa/GWV
p32GGlccM0690+qn3tx3DgbBFKsvNCF4qkx+dKckkJ64KyKOyTbk5EpBM6+9NNtaMEWNvOHaZoa0
mWE2H5yI9dmX+Cu05FAEhai6a7wi5zDzKia6YAmgI97MCWGMfqna52hFbZXdXWo9QqlDVV3NYln2
Vs3l5wyrztQiwUo08QHFxpy2CYwGLR4NAKh0pVjtHHE9n2gorLvT2Ys5YctKCu/fLvzt37UXpCsF
QxwHk2u5tld+kpkYUtABUTqrAPoDhbhJT9nuuse6om+Z6vniwxdRPAVfuVuyxY9F3hNqqs92/adb
V/e6m+DpBbDRX9OM3tE1puzOvRqiW11MC9qNjnYQWYOPIB6q22ocbiX27ZBJOhLgLno49VpPNRLy
Ud8hPsUvcoKEYXfyzlCYCIxaZxwFOKxLWU35cdIMEjqIHKwGaqDOJIY0jhLU1/ZKWdCB6a9FWI9U
yMfe/Y60VHNVwAHYWtGaBcZJiZQdaAM7csMLZRjTO81H49cuPhMBk0GBQysQca6zjlSaJXEesVOC
sKWmhKsSXrYQkA4SYAuSi2gYrN1eno/zv2e7GSNJ49uf9TdNMddjmIGaPzhK+rSvvyqE9NpOhOqD
1GmhvYklPqA4zikkgUEqLW0YTQOagwlhvtOuOrmNnzWSKN8Z4ZmoFgl6Sa8vzc7GC0Z5feDW07CB
DubswAoZH5MRZ1RrqbBy1dNwH640O9Bwt+WQD5+8SgSzORmPb7+GXzvVOKoArUIDy3FY3md94F70
ehWXowqsNQisDQO0bUihwSfuG9u6SyKi69uXXB/v/PFRtnNQg6P9TOL9+vFN8MaUm2EftKHp7rN6
xvkt4r8gtt1PLRhPXIJHYGQNgo/RkB/evvpvdjOjDBq0nsvXZ5T1+uo5L9XscOoIapdkTNHQ2RYU
FO+s8N+8VrrMwpbo7fxmAMBpKmymZF2wGIkFCARr2SadvoJmvGm97MvcZe+J4ZwrQzGtofnJzBg5
LrH6tJ09WF00EWlJ3gVRkrZXISL2ftJZzQUhgVbO6N4DdcDZV6d7JmT0nE/ZHAwTLDQ46P02G5Lv
S/b57Xd9pl5zuiXmiNJGFsqiCXy2uCotaxJPr9hjKv1aVuhO/ZX8qpQcL5vqd8SNzhX0uB7CRg4j
ekPgEEth/vrb9sLRZFioNnAT56ZBPWpXaGC3yxCRAZ2seWMMCM1k6UOl5xcYJT40idQ2QzJe90LB
0BxxaUcB5h1hv3Uqe7bgbdsTts1SZ2vL84G66U7VHOEjEOTeQJ8mI3lGo41Wjl5wZMI7BAh5jGmS
/Wl2VeW3JZ8ImUJaulr5aDTYQcPPKCHeC4RpS2iJiE3ejAak6S5Nv8n2YHf6tFssUpDOuQBvdSfI
cfooRs866lOcuqJ9DDxk6+AIhVMA4691MKpwUcWIM0u3Vt4B0jTX2lrXMbkNgdgiCQ3TfG1lrZPF
08GWLnpz8fYKEb++m3WSbFvMlcFCyPNJGRo5U0dhWAWgtUAs2hAgnS4aNtmY0xcDRgz9GqONqcvh
ygzg6tbHpLUK6LUuSQgdWrUhJ90Cz+2y0nttb+tMiYY1b15wwPRb9BqvaUmAInfphEb5u/HMWKd5
rwOaYwPnkAiyScZ9+tlpRi+DON+QbJKUtgAkoN7TUwNv76CXLlZgqMyPLqRrFIPAxuId5sOert4J
q+tmOr8LME8SHT5IimhivV78OUDyanCiOgANdClGXoxgJSDtId+50LkSJNuM0SFkQYchtCOA2r2+
ElOQsBZIWAQhnjZpSt6DSuVqMd4VL9nS0uFw6Eola3cZwwZUIRV2AKL35m2YI881VvGzoISHWyuO
Tk69pygBeb9qX641Y0HxTn/72JhMPU0sNg5aSO3y9sL73UdjgMcA1HaIGr8MtwsqV4F2exXELaom
IrOgWcAI3eYtWeeUTzVEx/77Wi/NivZTX8cvc+6+E7F+DZAOsAjmiYhuWb/OiTOBTXZlgKHVrfKH
6aFFwmvgYlkDrHx+72ri17TLceAuesx9TUMH5vP6w5kIAyGpLCrml2Pkq6qcd+tYEnQxRAwjsmng
klAvHUMO5AejD/lSPpZTqa5lTnJv6dFz5RozNu71giCiwMrFUlTmOP/uNOSArhGI+/D2Z/r1HOWO
7XVQjNPqCiN5fcdwKVB3nNhajjYnQdkiNY9Nrtr3UNM2tLJxGtSzd4aWv0n4uRorAmNXnbB9vpMy
UgfAwgIv6ZTGZg0PlEJ8Ese0tKZDnHf0UyPUtQzVX7S0p66g496deob02zHHEiXaP2jKI+5PQdKp
oaURincwrRXDR4xgX5mUmLGk7Dbt7hEXMLrpa0+kMCicBONnv3PWaJbY9GvX8Ysl+uROUVFt8xIL
XWuBdxspoMhJaD5kNcQ7Q2OoVxkS5jNDBz921mQ+HD0w6rQmHaq4k8viabZRZpa+YeYG7Dt9kUnH
5SbIZkb41dTg7lRVO0KuYRm+/Sl/GzakaekGLxe5fOs8G3AXNKgtwkY0d/GtwkMYQglxQ9gwDmks
l5yBFLmJJ55pm9PNtvnQxVi7u7EX2b6QzXjpzPSITrE+h9RzkcxJRc+0rWwUt8SX02gT/RGEzJjW
or3RmDdxykd4+0nWRfc60rrEV5JXQDHIitln8b6JLEaw6OEFiKYgN4Faxg71C7aEFQ8oAnpYTrlL
/sVyQ2dnOoN658xckX7n1xcWBCtgOcChjHMIhedOykMouAz0jClaKZrp1lD0+92MTrhZe9bnooKT
lZixuugN9gi2OnQVNPrYyfpftirqXa+jSxctLFPOLiZKGNnsEKX/qqO1r+byUWtpvp7mD7Q2DI0+
XzilyArBGLGrdRpg02RPaUoGer72+Ka1nbtUyV1Tj9ZnPbN3le4dmwGLEFsutj+vsJw88l74P0MP
yDc/rDbNAjzY5kA5jBvf/ki/ySxcQfbtGtgVcyrL9S3+XLYzqyvSMS6DmiHFaUCQW+tI2GAiVCVs
w6XLxg2aPheTrnS00ckYMCZieABrch3DLHoPtqtBZozT+i5b41st760UP5Swq5BDKFaeF7MIR8/n
4O27/zXuoaNKRsG+1ylTz2ukvtOqNqfxEmiutQpcMTchVCh4DzR46UZlYf5O1PsleXZYU+SnFGWQ
fTjY11v66X3FRhvOjaISpLUNoL7qnA2KAjSY1llMe/q8PUOhgfgCkgPQSL+OAYeudjGvmPp9Uzdq
bwNm2QDVeC94nB+Up5vDbdtkv62oofXPf7o5ObtpqikYr0lcw8RquIeZNKJfp6zZ+lbefv2/udy6
xUEqmWgKI/n5+nKNqmz4bKUKRntdtU5+nDUSKqtl7VA7vlcRnyyPf44oKHyileCA6ARrZ1A5vr5e
3AxMG6HVBHEc20cvGSxiYQOu3PJ8Rk0YNoyKjCQpIs4M0tBDYiMfYxhacWNhC/HnaOXebTr0B2n2
H1rpTvtadnJjjbCgR/boju5Ke5UhExJ444xLR1ckx8KE5BIOOdPNpSugavPDk6GR6+z6LqEdfpH2
mMSWKVwbrcQwK101hKlhrHirlcmI7glaGLoZD2gpjJBqsbxpotoKMLI0L8FyaExU1AcMxSwMexwT
1prJO8TLD29LLcXHRiGNTZ3sL4MGabZw3V0f8wex0J6NFRCICm5/N5Oo+XmGwayDA891WA4DbUN0
aXpybtSkmFPvCpWblwBUbXBgykt3Mq8Lv6isBEp+A1EktwpFlyw0A9Op3YOXcA9aFUb0dz9VnfUh
itHr1ugO46KAS5XSFuNrP3roljjKfmejmeeJuiNckjABiJaopFOvv/7YHjwKT8s45UFQuIdT3WNm
oEaKVmeyTS6Vwsf4UNV1gUzCiCjKMlt7Ua0fsIRw7Da44YDsIa93GgfpnSz+lonU9LFLlhtOBklL
abD22PtAWCNAogLQFD5DBAtjJ962ay7aPUKH1tFbf3xadh+6WNzbDmiTETbf3rN7c983eQFpoXXf
aTidH17A/thQ7GDyGAKNfrbUiZwQi2vl4tSyBE2M1AWT2Ld373nwPF3CAWEIhF0atn72gqnCYHnL
yAUwkFa7cqD9OqCbsVMVYgptZ9a8G0Q13r7oeVLARYmdFskN9QRh4yxCRTDNUhk3jg9evt4z/Gq2
FUQOxm4KYTSTkZ5m2u1F2egh6imqfaet9UtL1cG5nQRZkMDTT6Xj8npVzajyDulKB+5lpTGXRyav
EuYCg2i9YGh7F5XXuQHR7p62gwpwEhoe3n4FJwTcqzC23gMtclRmXXDJK0D85yjNtmkc0WjST6XS
dsNct4fcMhsKcb1FyGlIvG2S6+0THl8hvmuOdVNOoE6LTqCqpZxlFw9Os21HK/X7fHEf9VbwKuuW
7C6u/FzFzccRwe8LG22Mi6qLnWNdWxKflrH+LCJQCZupMNCt8Lpb04EVFg9a9k7yZQue4dUzksDS
MpWmadK45mx+/YwYt0CV5Qj1e3bVcTSbyUfjxsBltBwuTw/hIZt9q2N7cGzRItkyeEQLeNGXXWaA
HVlIwXYmvYitGSM15yGyt3Pg/7Kv9fZiWsRLBRbjoA0SCBkU0F0SmXdqVdWsmmS4XJa4hUMscZu1
FzeQkzMw1W73iHAgfYrs0T6T3QLCByYmBvKan1diQTMDP88qnnzV1O0NahJw1eQAxCKOPs6arW1l
OGa381J9XhpU85q4v7RHiLuLpWebCP2qa5E43aNWFt/fXjLmLyctr5MmPJhKh1YwimWvX2fleWGC
aIjnR6qhd9JrzRY912MSjZ9y/IpQhLIMf+kMuK5yDreCjtc2RdUJUyjsMlE2SbHJYYNnHtssLQZc
SlWkP9VzitsmArxX/BQc5waorRMW9AcaST0CS7EMsCr6tqSVd0WVp291TKoYqLSWX4u6ANQnmq0m
y899Nvf+MGn3OQ3pnVqa9zIb65dohRoQ1SZtIxtSD+3S128gRbJO0k6xfdR++g8Y25lfxTQyBOPG
8b/tXTw3S7cLunHSfPwVNIA4dXxlYP14mK2kQjMk7Dd5VuYPSbTCOxK2nVpaG7kSO9V8MVYsTBmh
Bwk4bqc3rJG5K1MU7dx02+uusZ+bPpjmGA1gYX0aB/MRR8tsM3vOpzBOvlPrQPxlPnWVd5pziABt
XGNG795ifin2cYYvpjdklONFXKH0PnWBpDcQWIz8fAaTLPSBS05eZr7Tw/nd2mFyYdH0Ju78khTO
UxIzo2Tt4DvwAiHCvV33Ctx7FLqMaHinjXvyXznb+aZtglCjkys85xzMnPf0qvS+I8ICp9qlzKEf
AZbFV9VSGFt9wZDb1MP0Bm+3+Eq4DQGvIf0yRl76NNRk8NgIbpkm/jl4IXKt8jpc7NY3QPngu4iL
S4lSIft6SIG88nfxTJbLTvNYl03K8SFGdjNp+0vZQjAXJWA+o16GH0aJPUVvsgcqisJj2upyr3DH
8mMg8Q8j2jIfGfiHO0PEw12VJMvWEuA0lGXQ4pIIWEYapQ1gLg85FHnXwTw4eGomcixef53Lwjk2
EECuR52wDOcah5P1dpiYZmsiPjzABNZ27cAxg72am29t4eBzjADEU91p6Y3A7Rj5+AKTtxBpbEDM
jLPjuNR8r8GUtx0izUcflmDkGHIf0wsiA2VDLO8c0L9ZLSvhzjzh0ddT8vU+a6XMVI5jr+82gHKQ
DEF1r7I5nEqrREyCDfF2aPv1ekwVQaSTYlGo2+dVulQFyOCltP0sz0lAKnYDsDnvAsyRe8Awsn5n
Nxi/JpaUbbYnqXiBqTuOt97RT0WSC7ytFlFk+eCYzH0ygwzF0Foek5xBVLHgBjAht7yPWulXZd8c
mpZwIRWSUdijoScHAX+LDke4naic8XfnoNIHPrVeWkgQOUYHL5ZHQR6z+Zi3hGu7WA93G3Uqe0my
W7son+Y1jESFHYK4ZtFJI3sCv1hDVgYVmuLDuIvoTd6XSNRdLNK9RnJJ+UwZXuoSCToc7l+Ukz2J
mHvX9G7yZzdcruhrib3RTzRWyua+XVjrhkbkPx2tCBo028aN4kcQZeYe7bLlzgDkC0aE3eR5nJIx
S/CqjDP9auysLsDVj9M0V4DBK/ISlXDO9DkezPq6V1FuSYH19PMzWs3AnAbW+VKzxFXTtAeQxZw9
yDDtWlXVnxMs8Xzem4nWKDdUOU6JVThnvafFTAHmevr7TzPWezL3mt846MhjejkiMyDGejsBLdjM
66mbxgLDwASdtYacB3TYSD7QTQsvcWov4k53r42aAX6f8Vuvi1CAddih2FLznSIyiCLE4qctAX+D
+YZkHbUNMpugiIouhEq+PqaGhePNoC3LrhqMFhehUgbQqLwLkSe8u8x2g2yRD3J2vuXgdbcY2IsL
dudwhFODtNjIrons2Q0wRSZlSUijT9vdk7w+kKZcQeMUqDCDRFab9x97ZkfRzuc47a7/bHrxv+R9
rhf6VjIKSf7beM0ZOv+TK7zkX5vN/Qcuzk/f4qfsH7fN0/cfbfwzk/P//oC/qZzOHxakS9r9pkCV
ih7zP6mcxh/wgJCZsw0DvrFj/5PJKbw/OE8lfxt7GOLlaiDzN81YyD+Y5LqMKyh0Vh6o+HdoxhQW
hKOfz1MgEODLYYxCBHOxMjpL/eoor1C1p3vQJEmUHlBKUB+c1u67HYbp6PhOU5+laBcXSDo7VQP3
OHGLvt6VTiwu6Iule2mIBqWJwpbXhg5DZjNMCb+CKUm+LEnlIf3hwqDZa6iZXi4l3kj4owp9Tz/P
jG5K286Tg2bN1ReZ6Yjxl0ZSYJJYGBF1dJS3qKDxBJ/bkZBqdM6ob9xq2OvziOF54lrP1TJjEhJS
gjCvRVEpwxIZzdvtMnrjnWf0aXKYkGBZtmLSZ4Eqf9rAdlwGkMe41rq3pqgHNPuqCurHbMOwxj/B
uiPPw/pB1YODHFc6ViiLo2GdkD7k+kuc6OUCXALZ951ladbHIg4t+GhhHj3W8LfAlLjh/M2UWndb
pVm4Ii6Lfoud69hvzMYanuK0xdHFtXP6WpVMvoD7aLFnRyoEJKyuMyeQzW7MhbwwjA5Uc0HOiuZ1
IfBZh6xw30kxPzI+cju0PgUSnZzvyUG4CKLQqWiwgEXjLEcctHXMa5Eb4/U4LdqVmWdAEhcrWW7M
JO+NT4IzCr1nPH0j3/Iq0/tz6FAOnmsk7faZp4NJwPZWrKLShlZmGHB2TXJRt62tf0CKZ8RLol7M
1vNTeBD/h7Lz7HEcS6/wL6LBdBkAYz9IomIplKRK/YWo0MWc0yV/vR/W2t6Zsb22gcUuemZnWq0i
bzjvOc9x7g3xkPk8wnTXJ0H6yuyTuCdMFL6scNe1Yc7guxw8/jXmgTazCsjQ3OyhESKiA8kOe+0c
2A6TZ4pUh2U8xNVK8+Gjmp0qr22kfsdjNXp5go1qYJ3b0U0DwbKkJ6cGGUhWhwx8P/rTia05XGRG
JIg+mFSdJNqIe5D4AYgva8CD63b2DWF1N5SKRrKRplDYSF3mmbF/42gVnIy0f9FLg5uNxRSU5wND
n/jS6LjN+3o3UGC6UVI1m2c79GNznvAMBLxjoBv53uKxuWZGqewsCSo0NoAcpVXlbAgbzSHTct9Z
mA0CxVxaDjHJyXeOXFCao2MW2ML6rHpIQ4CXumqGX2bfpBsHpMdL1Aogf0Yith3UXtjcxYh9HsQU
XMbgnDil7VGXXVwBJxYn5qjM5xMxeRMTttlQpvpPQSpvSQvTamyTYDd2w7SobJvyACoWF5Fb+Ctb
UqVnFjF52Ni4VQCoOTAF5IUD3V9bfmp6Zg4RDD+Vtuh9pASt7Y4V82EIHyFKSzyK7p6G5aUva5wt
6gRoknwJp+ewPfshbdRiGlvOKji6BDS/QuhsY/UyGPsrt1RKq2zllufl766LLgn+igVF5gkA6bZd
5nFjQ/bmLQscBaPeXHFecUx6Rc0tWYyMu9nz/I8ZvRaZ/5Vq4Uajz/XCTqv+rgG+LuqiPJSW3SFq
WhB2XQVQciK/7bw9dAxQl9Wg8JMvjQxsWjIpGIMDuFRdi71BEDY3aFoyIi4fEMebhziEYZc3WUpn
DlSowQYSmI5ielX43Os49ifuZWa1MYx4ODphgiPcUYYb/uKb1frxnkojm0xGCmB/oD/LMaVJx5nM
H2tAIJ5mg9lhFDyd8C1RHj1mUmxD2vWI8il9t7Ji3VCXppkHqxG0fr9QfX18jmj2gbfiDyfXTUrI
ZDaEoVCIz7aqv8vKgCDVOdWe+iRjHWqD63Gpj5ZW0mcXQaEdibtG30ucoR9FmYN05e7KH34Q+cVs
IZIBOUcs1WdsPvSJxhNj5bwMrh58lUmPFfkPu+rl77vQn9pKf4Z4f9qdgCDMjg6VGfB8bfiLTlkU
8CnhxkDf15ue0nVtyKxVGxXjuSFj8gSC2GSNK0gWDEYF/jmv+/yeg/xBPUm1ry6gP/QBlVXTvKQV
eBh0ehIIR/HTx7yvsU0N6kDJbwjNu/IY8GYqtb1auBNwn4ezBDEAxx/U73MDzIvKLDU36GByrV4c
ymhyjqCsk0vohCxRVek3WO0NOFyt3lJgb+jzwSy0XpJmLHDIJiOWPsiXYgEA2CH3YRNTcP2k2Q2D
PW461vfDFChynYZ/r4CWWybvLoWniOeOztnOAJHGa++3z7RKlysLNhgpfYR0jrIAE1vOIQyhBfVj
kn2rdQqUeKyMS2twp3FLPSVgbK5+XEc3mFjp6pFE77a1OorswTYjh2IaC1B218Pkse1x3zS6uUsD
AOvL2lRpekqs0pNFK87Z2BiXhl54wIGjNxk194eohFeZU9G66GOtOGduBpgHj/kZC6l4obHPgJM9
Nw7QD7EO2xx2sMrAlOZMENWBcwuFQ9kDCdF4PPRu+04VAUg7Ego6mvypjD/6nlu0ojkPhcb9RiB0
rphINddQTciNFXxxnDdgwar4qlDWlW2udhHlDQIPd8oko7PhTSn5VR+66ERtToj527AufRRubcTZ
HdtKggZlpc+1XQL3adDId5PdcfcYy6b3yoBQDFGC/DUeZ8yoXn5QryaWNWjMhZiI4Go8m+fKrrQb
fQifNlaFaxHy5uFi6U5NK5oAgnfYKMAYaUjazTShYE9Ztpt/paNZvqIHo5E5lC2YG2Lu4lROZa+z
KAshX9xJAm50wUS9j/h03lqfW9ZN+Iqe8/nsCvwLY403zQjCk1PSakobifUxxL49R3yYJgRUEXxw
1WuwuVtgkHOtFRtXUYHSh7DX9Cy2boahtJ8G7otFQhfDTc9lF3rwVKeNSB1gcFVHsaoM62NXdKDe
fKZhv0TmBFcVGvkxjVlvKsqJlm03BCvLlJFnWYpzr1A6gCYa1jun2sRmO6EDcTtAsN1HsN2Jz5Gq
URdNqiTXIa9olmLMZcA/r5NI5QI0e+NMDhyNx2JXVmv4puUqYMXCOVlPXbVkbhqcspa+ipy9kW3f
xsbOBLm6jkWcvcx68u+usLotR69WZ4ksmOmU8OkpHdfB0jpdvi1Hd2L1cwjbeQMz+2dLkNlIxsQ4
FWbWwwx03deu4eYcZSZ6Se0H10kBk0idXp3f+BjJXZsmfroVJKvFZKbq3nIGOuIrUxAQd+h8CRMo
VcvapasVbkfj6bX+NpKU2iO8kJ5QxySmyyKyX0d/+O7LTlGXmtb3W03N10Cj2boGEYtNkozyF94s
6L++xBa1aIgrvpNt7W9amZqvvrStkp9oD5QuaHQnmimFmCOczPg1JeSI2ZSUNxhZ8ZVKW/e9bCp5
18xZukJ0T5Dw9YZzSa6JrRlDovfQoHUQvkXSrYExW5+dZcbbUula9Cv0cumJLunYVwtEY0jv7fhL
dWrlhMOOLGDux4a70HM/OShmXB3Nzh4gkOr9l5rV5A7UtnFeuLHXM9lIV4xDkegBNw1Agq96N4z0
/pYyypalUjMZbdks3tCPspuA3r0bfKJnZoBnkRyOiQhm+gC2hctJbDH0brNn0YNFo469TFeFX2Xj
QshB/9Xa5ZhspTmEH2NccGnO/LQ/lvHULirdJ0STJnYzHRzO2CoVYMFhlCwva1wn9hfXWe3Bj6xu
H8Z6DQLa0KdnYmN66Wmthhc0kMpT3ojw0lq581FIrb2R6ENknB9JLk+JBBHrBryEkL0RH52KZ2RZ
o009EJjRdhFZZe4/MhuCRdsGlD0iWwcXogPTvVUj5UzVM4u9rYZY5qhfUr7bzsyJk2U69XRNo4oT
YElEPIaa/bEi6PY2hYbxgcw4ktGL9er32AbJTqssP1kWDJpfc4lyvaZNKwAJY5rfetT3gNYIC3pZ
GxG0ryJber7SJ/2ijpPqGRjzBI88l5mHkcShptJ3Bs9NnBHktNJIZn3h1B6aOnbPiJXule8nPw2t
xqnTauo32uw0z/GNPF8xj9PLpQSF8pZRTQir12m7eglxlELhgPbL2lSGmdAcD6tYIJ8sY8wqwSIu
ZXEm9B2du0gPtpViNPRzm4GxrfNINMvUTntiyXHSUrwXmehCed26z4TGYFqKwn7S4MV9cI8xikUM
B9BcVPlojTwKUX2qRzkitLVksMZ6eIUXduuVtrpnfQVSuMP7c4bsoBaXPpHhtp908U701+ZvjSnV
KoEudxW8Uw/rd/PaVUbzTcOik62UoXBuhUpqazLj4Bn6OTtR0sMKzuosxEVrOyE8bS1P1hyElWNQ
4Gted6VCORQKEyMDI3yqe0vfj7nR1hROpWq8cTuFFo2AwoATDPv6bDvEGqitmWAWZBI6q9nsbKt3
3iD/yFvNcUuuNOLHO65KVrDWpJHu8OBn9bqtxmw1dTydZB/Hwj5XGvOXFTECFcBtP9LKPhjv/ZjX
O4gE8IMpIYcLbY/EjGpzcLlPlpzAQsRJ+PKVIi9KPWSLiF7iT9sI2q+gTCmM6mInqwke9vOJlXXi
nessZWBc4e0lnn6KhnKF6lopBptjUTw+U/CSagu+YjciCllS82eUIawPCOAcfytebDDN/WSsFNup
dvHUtXdTpLEGE0KibKupQWliQJqfJjCzOjoQm+lNseb8eCdfy8Lwk3OmZBbPcD2vm/RIj8aK9dwA
28DI6lIyHes9COFFtJGVSaGNahcT3AtORRhh5lqOqBx4mFN3WpRVG3xO9WQcGgeUrkfMZCJkmFGp
QXOCQ1YwTit1QQPROO6HtFeCHdCbOvTIjgJPdjm2qV2cPUnYoL9FMjg7VXHzFyGS8NnN+25c9Lo6
bAZozXRhIqhaYBfhvYfOciJ1+Z1ow8iNGNsk4dcsTwEHN06/Gum8wmoolA1bUrVixsA9TuUylulz
d1SAmIJBzBafJl75OddXivvkajj/dC6RgWvtKVQ312PKIAkkyHTr5aieUtSZla7MrEag2uMyknFx
bSzX/yymEr+8oCouVeXInt0Ase+KVuG+2BrRdUKUYlAepi/Am/tTmpjyXpT0oHF1JAbFd62eIxuH
nZuX/rFJVbHveeHvY8vRv1bScRvYEghWJPPvwrHzs9Brceex5yQcm3sNVZuyDL99DdrePGSWNlEG
qOEgFUa3w50Ph6E18o2eQIi2xY0zef2Ibbs6AFrA/9MZxTaBhv6m8pP78I0YsGWvinVP8yFduFry
UHZ5dGnscYlMZS7wMdMjO+joDI2vB9+OGT75mP62pii9rE4NXHbuQNmiEtA+JeoHWARvLozhTZU0
w8YNXSopi4rUvoXfCNn8xWXBQl4uh51ook8NRvCsVoCxqmNw+QbYEKF3ez30o60VtOnBd2J9xRQw
WgaaTH/hBs6Pk1nRFkydHh8ybbYYWNotM1x7pbROvObP06ztyDTA5W6Akrv/ywzmv7gi1JmWqDKO
NzUTYJ71l+GqwvKbDywkO72PdI6d8ynNMYrgVFLKMCwFj9C4xImgLcrOAMMzdvYOZBfdmf/8Pkno
5a9qJ+417F2ztsr/0MH95+FM3fkESumV2Y21RWlO034gjQ+wgXrTbc6Ok2vWJVGJy3uAUIZrD7y5
nokTLePZnvc7NPvnQeoCnWzU62ANUh79zKC2sXq3qIcwV2ajiJeKFO6FoTrfvGWkrw5dEsgSsyCX
Db32YdM+DLaWW+ML8ocCDqQ1bno/KJ91CD+bLHDwZKtGZ8M6CaLXNjLmMFxvHl01QhQAuPDi1AEP
ShTKx6qwYiguRH+8cVKTA+iBekW/jsFBwgjOA7HbZYtd6Wrb2UjDnTSOXRqwHeaC0myZvupGoT62
erCn4MdZ6rNoac/yJWRulEySIayQCn7v0ENyFdfyR/YMfiRQzF7qNyRd5ADdrOwv27GcixRJfaVK
QHvBSFhViwoQDfLXfGCXrejgiwVOtI0YoDzB6eE5TX9O99rPSd/9OfXLnxtA1Cfjp8hr1k4mYOf4
556gtYWxpQZPLlqykjpWsvk6gZpkvWNhSBc0Qzo7xdefGJB0u1LWAa54vviEMo4FVTTF7FfgzoIX
geuLM99kwDOLIyF7fjnfc/xQtqHnTOzPcTHC7tAGbkTz3ciZb0lhOESruszERq9qNMpZEV2ymigf
6c8lS873rXi+ebnzHUyfb2OjgrxdQakYl2g5XNdKlw7GGz0IyZvQ0/Kd8iu1W+XwiOQLsSC+JFGk
4tRO3C83g2mhhSOkl6+1X1r5lxJaXeSFogu+W4PY0uWfvyb6f4llILcAVSQeqDOfgIT6F+9Wl1tx
D7Oi20WctY4UoATAa6j+a2oj2VGy5Owqp84G2t4L35N1cXbSwn8IZUFmVbEGErBtUKGmTUqwQgGg
4TzPkuHKrYcaYROd9JWRddnTC2JUN3MA81Dq1IcEYzSQypVnjIZ0mA7EnrJB6x80AnUtAwXpf+L7
BEccldbOAmz/CGmNWmRpxXvD0m6lEWJl9C8g6ghn+wGGDMNfa2pw4x03TqSEj1zMiGcrpkpdaaTC
V0evg61eV461DaNKwNywOKCyd6jbvrTTi2XF6oXMBl6+whTBHetZvgnA7niB7KgXLIxiQHuDiXVi
cakuTk2hdMNJpl0JtOWB3kIo856QabKfKpUmy06D6MAFvMy/7K7BtpE4HQdJ0V50WvOep2DwV4UR
g6MWU7pySadmZLVt/y1kqvAmxZjlyyEr6rXfJuEmIqafsOuaNjOLuF3H9hhsc0fwypnWYPHnqwk1
jFncf2W+67J9daq/4SacRytJj8ds9MRkuLC73t1SceA/gvUPPzK4P/gug8jz/Vy5SpQRlIKIbq9I
9Ps0xhmhq5F2QlqceCo5dKaxKw+YZJVfLiw4j38d/aOKk1+TKJ7p8KKsntTR5w0gZrrohxbNjElO
uLboRiYUJ/r1SNLsrde16A6jXH+uYsyP5G/VcElBHEuTHOLHqWkpK8XQdhCsUkvTtluvYNZAGgSA
iR1q8VOuNgRiktDF9U681NxHhmqmXGIs/4GIlLoBfq7yXrux8VBmxY0eKPA2KQKF9bMTYe4yHy2l
Do4DXc90a9Rq5y9iIrPOJU98YIHlPETSfuZJWiu7aen/zJnUeeRUo+rO4O15EuVTlQRhIBpjAEu5
/qH9TK1c5lf6zySrweqyZgBtP6c/k65cVxRKH6NhRjiweucrVrfyDXR+Gm0NbEvBiWAyvWbzPvZl
dgNNXobUHdqw52lbPA+0F/T98d/cDAzrCLWu3tUp5LthENoOV1XLuboyuVx3Llz3BWyqJN7GjtUw
/0bAoJWcJpqD0RmcJ6iiQtOVs7ybCO2VHnmsvW1wBxT2GtXzC0Jb8ijtaF/5Ew7+3rXXpVZ086cG
88Kk9CBDRkSNUogt3O7m/Z8vVAxI/zy7BAEIoVk3TYi4GNfm2eYfrBZUmHQJkqi9cwPgEe65SuqH
sn/8+U3+XzPu/3GA/cf59d/uRcZ//vVPQ+2//fmXzd9/DcB0BgX/6Rde3mIye+x+1+P1d9Ol7d/+
9e+o0/n/+X/9m/+OHr6PJejh968sylcR9LPos/3riBrrM4ej/3nGfYymon7P/vt/7D8hxSYJZ9K+
/w7J/geheHZX8+qRTdQxkvxjrm3+i2lYxP1UFZOMZgs2lv+Ya2v/gmvVwiyMVYd/1vr/4bPnsfUf
BwcCmirOUNIbjLQFN9M/PxpSayboUlm/pVSdwjO6GzaDqLJNHWsnA8vNLvJ73heNi3HQ/dZ9yz8G
AqXqD1/ZfzPAcH/CfH/9HMzwidcSiDaRzv78OQw3UAqt8Pstb0S6bW06dowE8OzS6rBfHZiAVtbF
B9XVRTMtD4F4oQf+MeYMsqhq495VIPX07cS+EJ0MNT8YMfHIyJmLk4CYDZZ9KLWSGwc+UlO0j2M3
klRpKK0BFMSs52loGIBA/pV+7sVZc5GJPA8JSAsDNQqTsN8gjmbBWYlL2jPptOsio/YaI3g3aZNd
qajfK8G6WMKDqxH/+Y1WNKSMwKui16Yp78aIodUf4Vgal8FlyzbNJFzwxTZMQl5Di2FhUEzqmgHi
opDWQ59n2lqEwXLUj4VSrK3KgOj4oiQT+mp8A2S8hxq51Q17nzMvJp7ASLC6SSne4NRSTSKTEx5s
enWCXiylWThbQ0QvZM1OFCTsLSl+F2G0ddRfSqM+oVwz07KPtaivlq9t9LbwUD1Wg65XC93mYwBX
oT0r8WYQYZH2X1FlWNggDI08g/Wtu5O/a4SONjMZGSsi1gdpTwfOCEfFIXIFcSVdDJrO+d66ZWmw
q9VrQyU0mQOLmPRwq2RwwZuGbohadTdcutvzkTabVWsN+yo2njIgGAtVMdHEblUuv/uMWsxGfZsg
YozEt6iAKV+DIVqPIjrolSFw1CMh+IXX2u4Tj9ciEXBKuSPgi884Y/feqPanQPFf/XI69JZxxamN
K9vunjQDZ5T2VWTZqVH7Q9dLZPUuWBWSOS3TAFzHFG4nPucO2XJ3bJe6iZFZ5ZpA5wl4JeuJEZm6
gDH9VaB/Q/ym7bqJKTcFqJLF7afa0svjqz7s33GP+Okha3PDC1/iTLub2Ytd19M5JuH00k/ZoUnM
R1/2/cYZZ93ICoadqVsr4noHAJkrq8q3bZi80hr4O1GK4zidS/HUmBlZy0rh0lGqj+ykHDqHiULj
+MXU8oHheLHq4/Ay+fZDL6sVjJN1L4yzOT7WTnkkcbps6pB91hyLB+59NI1rwaqzEGuln3oB5XBY
pJmfIZOQIRXJ1gkvfaA95AWHAXfX5Ea+hJC9YDm4RDPrFQj5Swk+eUqsD9oXvXjImRIqWn2sXK3m
zUlSDHuGN0qsYQ4k19RZV8mFkf9yKLXHLMvoADfXqTo9IxBuez1d1G04LAiAvigURZpKuuHRsKn/
0bOdQW8JUzy1W/q9dSo6bU9bEQff6SnqdWqKO/sN5ZcuG8RTQn8AWzlkZPJs680GWNEypyP20OeD
h6f80+rNi+ajpZmBfnbVbqBsUJwjN6AOzf2VJ9Uu6sRXkWi7GMMrKSIgeHqRrZM0p59THR6YPWM0
tQn1gVm7zj6v5eSr5wDejZdrl9qalmqj8s0zlAtUZeeU0ZF9a1gxgsZeW/fU8THAVCxxEZw+KWPC
nZCXd2xGmx5fzTISoYaiXX7QVr8yR+s5Q7u1+AsrPU7WKRbrFZXnOAtr+rHrs5+3b92YlczKuxAv
oPM8DePNHhhHSRfGX3soAn9BtfIdPe1M79tbm4pfequjSvkP6ti9VWPykox2tmlL/hywKUal8Oqe
Macd6dfRVK6uw9eTYahEcNojvNM0AjVxUUF9w0Bbx1vbGXYDo3JdNzZTXX4bSbbJu/jdCcgtMs9A
aQ31Y8XQeZFXpVxqlfMbd/6zFBgFkWc8pqrrypiZTSZUWYwsyaLR8q0zue96B3Cqalyev5ZOGQvb
gh4rTzo3/hko6/GGnWjVeancnAgvMRgz6/KlmjXvcWLzYuBACdvhDf/zBVbgXRmcB7VvT5OuUuzH
9WHTgFXUi2A3BeZvLJeMq2sQlChpDxNfq+L7R86Fa0xGEUYRtPxxdhAriuksw5r4ei19z0CI4NXb
tfgvPIYyl7rEcDWGQQJ9QTmaqqBnLoi+8GNsmim9QpMFUqoEj03abSqb56F2+CYphLfsY+cau2Iy
90ODc6jeW2FLKw4SQoE1gRvF3hJvnZE8+VnjRe3cBodTjQlkVbAIqYW/bkN/U9bWqix+hU1+ylz7
pa+1nUxdqprMw9C026EvkUrzlYaHnsmjtVMjKk2TuF0k9q3yhxW0Rmp56EhtX0bU+mFItxAv4ftq
rxzlzvrQ4/anLdd2N1Hrg4ds/O2khLPpvL5bfvteJ9whQlMme6t+cdx6JVLUVQDIuatvh7R70OwH
iXaNQ4ji1Lx+VCZKhCQrVymthRvzyivCvggZ/i7HQ9DbXmGr51B+Z5Q9EXHDb4LXXTW+cZkykuvi
VZdqB85v4M+i70jPv8LAPBtWezKsehslwR0LnUd3e7AQtfvqxIAcu+8Wt2k1snRyx2xEfRKV5CUs
XnlFnqtR7O30V+9At+vzXwEZwSaJHzq1O9u4XQ2AKRvdD4/kX17AzeJiKZCU5KkDfzuWGU2mGdX2
SroaFfPDtatT3+nbQo5HbpnZqo2NZexq24zaxEHr3rupewUD6qW4NojooaTnH9lPmRgAQNpmpU6w
ohALC/xuAzkoS7VmGTP8iW56tjdYFEKykSzLHYGmNiPt1XmtzDaDcZxiZzfo6Vl1aZB2ejxT1LKb
PvtngYouMbmkdLEn6hE6JpNHt3oIzOSxzul1n6xrR4NciEMtytq38JinD3rzFIMHMCplTQk2PoVm
i2m4WBg9OebIRnWadC+ndGuIL6SrcoqGUjlsGUp+Aec4hLQkyoovsNYfzEznEirTncuAKWjSgymJ
UdrWcy3rD7fqfK81zQzobQjWTMFKlbTTUs5DAgoGHgd0+qUVNqDdVHogrYIxRdEbS5C++4SOUIZg
YEBMcaH99Y2Byqfudy+UMWwAImUL26yfidxuiyF+jm0aosWwtPR+E9CKZk33nqF5x8ILGHtpiOxa
leBp/IZWJOHZPRVwwbEfBIjwUD6gfFKwUCzd4TsN6YmMHtsKCiLpWL+NzjET2WhcWam9lFc5heui
gfeVn6lPb1YKOXrGhiH7R4T3vLt2bEWrkZtqPGwm9ymw9ZdgUK9Rp7IeOJuI22iUbNDBt11kXiYi
jWXdPUg1e+y1S2bwAAEnnaJfihouZKUli6LDHBB/DEO7tQb9ISrrAISn3EuXFt+hsr7d/Dnk3aSF
ek+ABZRmsfVdLhK4DqL2IdJGaj6duwW7g/7m94gcuKq63Ur4KnID54dOsV+SloHiWD1XE3XAVNd3
+gEgDRBSliyTI6n0rX2VWTctu/fCC4oRGbxrkgrGs20BzM6ypwAj3DLv4QG6JJ87mx2ZbNq0t2Er
HUvHghYqQpeM41TsmIDXnCFrt31l4Fg8V+3Uk6UXHeS0dvymU9e5uDHW9Tox+q9+KBIPZoi6ESLm
7jBZPkYO6sEwCEsPQ676aeVp+OgYmXVQq0BQ95ZY2dbVy+S5IFHqpVrmXpGX+SaVNvyVcRrepmSA
ET7xtnstrMU9BB69W2LNCT0Gb7ywabTTZnEKd6L6m9/S+SSIMn0wcFO3mRhbwJCxdius2lhrdtCe
nRCEjprH2UFV7PrGfY/zMQczuejrvHmsssS4O3xi6v0q9pY4HHaq1pQ0hJtMsBWGX3YdsMdNilz5
I+17AT4ThltAN9C/yuqYF3HgsdcweGasvlMgjB713Pb3pKyavYtbCCS0wtVL1i7fOyrTsSU+vsz1
8Vg4OszygJ7EG7Ew+1mtVRTzgnK+GJlpHVhTcDblVLxRJOGe0I6qJy46vD9OE2QfTmx1r0pqiAHr
Zhifzb4Vd+HG4dU11PGxGdzypA2I7b0Zy3NduOFhNJ973KyM8OqNO7Xy6jP0e1JMc+wXeTRSyYi3
cC2rkqUM1eqx7u0OUjEFoSMb5q9QRPY2KzqHyJqUH3E95ZcuHdqLABROA7QW77IIcj+29DmZF4WL
kCL4Na5ZRqac6xeWUeJH6Cl5M3ydflgzzphWBeUmmy/Yc6kkZPYAI26SDgRDGIm8GIzXlpLl6Vcs
Uv1Uys7ATGJrB/yYeJUwFhOYiy6F/CXDbhlHOKn6Nh3PDJ3n3vls7G8NT+ao0fI60k5daPmqq6ZP
ZroIr1RBQrfw+7uvWE9OTg1jlbxZ0Txpy3YhJAtz6lKWfczlljxUUewxm7U8YYslZoVgZSou9kX2
X9V+HZRq148x7Qma+WWlbGZ6/G5CUsA7tCQ7vG4hzcD2HdgYTCHR72mePjmBqW5yv36RenHXc3MX
qc4pNbuVqU3LMDb4xMxPErJX9bOmta5XKs0r0dFwMVKI7dWZde/N/slXtHM54jFDcVxEIaWiUtkF
zkgKMeh3pVaZK6Ho6TbL5/T0pJ9HB7+IbqZU6OaeW4WI2kMDIYBDeUMld6eb675u13mj6KvSa7oX
THSLtmgObuhg8nXWQZp/l3nz9M/FDuMnvPUPsYMguWCiA3rLgrRF3sr9i+jCnIwTk7CGrZW+cM2P
DpPs5FkOTICJMo571cqrkyyC6ZH1KbwOkSXutBfH55ou7WHRWHn/6mBF/bB/XpVkfmvG+f0R85sU
zu9UMr9dTBGqg/bzxs3vXjEFyW0wqCtcFLya3fyOOvPbCqZm2qfzG+z/vMwyMBp6YBJlH/i86+P8
1jvz+w91PPCybKqOmdu4G3ixWKColnJ2sZ+Mq1yrYd8jRK6ZEwZY8lllaEQYdoHPyqO2DCorczDu
thhZl7SG83kQhu1NjYvmphZNdoAzgsl6qttzMHEbc+eVTvcJhEF+Uvm6WAfFvCIqQaH91udVsh7b
aEe95cItq9BjqMVi2s3rqoKxxMt+FlsqbYbtmDjhr7zknFGqo3s148T1QkNPnpngcGFA90VACQfr
UI1D+Gi6hfbpu4r0aBTGABezyf9sAkWXaJth3hmaeY/w592imPeNOHLHb3XeS+p5V0HPKZ61eacB
5MCmw0+z2AW0E3iMULJPZ96dmnmfImYY7qQsHop5Dwvn3Qzz/BPVlvh2nKmZvhAJD1ge3Bq/ldY8
D3Wmvjpj18I9iVL9ZRQ2olbW6ePbQK0Gb43BsLoMEKASnk2vs/oCvDkHOB1a0QLj9Mlu0vwEvSOC
1KCHpxKBGgNUtS65tG0tJXRxxNe2/25mguIU4m8TlxtspmvyDDZelPbndzRq7vl2hluPfVqhEdsB
hR0um6JIL0UeW+9OpeuHLGaR2FiDw32VmTMnBYK5+bCAdZp8GGr52Bspyb5S1UW1DrFblzW3hWXH
uAbBKwMSFeNAW6iilB6GomvIbXM7KOZbnSPldGrPTWLiXDnx+I4kE9hspOcq/j2Oq3vahpmnDHG9
wuuR4bLLAQ9xYf/NJeZFcVRxNDrX9ZrSfMLdyglI0Q1PxSjDCotBBLtXenUGS3lwIpl4bPQ05qhJ
dLfVlvL3ton3oWXd6UO+Y2UMD3HlJtvc5pjdZeo+MDS6dfpQMruRPYeeFoo7zPVfEfmfraNF3+Oo
JFhFp5BTcdJ5ujY+1Jw/FgM9p4uBBwP7Vv8qOq3Y50Sy17klTRLkhb6pxrReab1Lselkbpyw+Df2
zmQ5biTN1u9y95ABjsEdi3sXMUcwSAZHUdzAKFHCPA8O4On7A5VlpVRXVnVt2m6b9S7TKCpCMbj/
wznfAYpZaGKQCTPZMUxlrGI2b+yw7qgLxcr0RnYfln6qyvEZOkrxoI2Kdkxl0d7p+0FBjE5BWskq
2mQpJB+i1FgVGZZF3L1X7RQqUZR1Q7sbBN+1UjHXDNCTr4xwkqtwbF91McjjZKVsPObildhxKggX
a0MmcYPnvo0rgDUEH6u4XdV5Pq4baxHHV9gL8KGAkiP7ZN0lLtKQ0M8pLSqTdv7iAlwlaIuKaYpo
+SMVlM9l0PEOT3StkK+9desPj/yeewxtN+PaBV731CqvuEJ/HRxF5ZvLTiW+LgP5bgEqekyFMfMp
4EAxcvTEQ/Yjsb1HDIDgD6wYN4kRIqMuMVaWHq9d5kfv4KXcVUZ2yCqtW9LAEXyu/Cn+Ok3iRWdf
kP9fA6vjE0HYwVTIy2yVYjOlxQ+vne8nq/QohXug5FkH9t1QUhBuEIc3bSOGjZ1wOFomjcdQKC4r
/KtoIIX5BDm1pXu1vo2laW/dOnmSUGbZ//tbA8s1nXGF6CK0onMo7atJatStNt+vseGSIKAt3jCQ
viGDkET1Xpb1Ie4IMIiEER1CHc4viVqazNCedjMRvvxeCxdsnXTD/BrEaY73B3aO7DNjzUJX3Mou
qd6SaLKPoeGZV5H2k2PWOe1tUMruMsDcvqCxHr8GnD9XlqjlYVwqqmGprfCH9Tf2Um+Rt0zltdRg
woD/icbP2AQf1RknrvOklpKtWYq3nlf84+L9tzZU/3j39Kf11H9tifU/KwrWZI2FN/Kv11iPTVz1
DXvF7x/rteP7//0/rB3/+LU/1ljik20LBEE4NBcctGTN+Mcmy/rE7ggQFM5mb7Fosq76IwhWOJ9c
d1lXAVhxlGcvEom/bbLEJx+7p6NcW4kl3E/9Ow5NlrisiP5eVUlFOeWhEUA+5SF79M3l579sOasi
NYzJsfoDIwqirOniGXerQz4gCiYQ5wWlWLgaUNCtkZNM+7nsvo9CfIYT9ZLLzLwPaqwtbq3fO+Tj
xJ3kyyDE6zeGYRkgXeviIa3M9mrBqy8HYLGZMSVjtk7uvMrAWENK0oFakqM0rG5I8oDeE08RpbH7
UlKcsL+f7ktaurzKLvQLEPFDlLcFYWDkSxjviHHx0gF9dUujfkXbxsCJfdKBkxhLI8GHPGo4vMas
xzDqnzFwD8iHNVkeuRde2GL4G2LDjK1Z03hbdlKcCWqyr7rEmU+VUXnnqAigglXSyTUaz+k58Jlt
xembBpKXMljMwKNN0GdBWGzpfYJNh+1+HfWMCRPh9Pekde3TJnXOlWeNR5G6/W4OpnKDdwhlRW0h
AEYdMY3sb1yr/2H1/k07hd7Wamx5h+bNXPtVtI3qNt1PLcQ/BN7FtUxKktTGNvhqM0I9eJQdJzQN
1Qbwh0D+58tj2ljVycxC72vnTa/N6EdrmxJ0Qc+3i06P/yrs6mvv+cZ14A3mEZmCt4pReWzmzHWu
57Tpd25efk+sTu9pguVtYyagykKwJX1iIYA0S8WoVGIri0g60X7dMHUYxb2i+qoqkodKgGYobfr0
xS6nF0dVERkPE9rF5bYmCfvsLPd3VToRNnru9JRLJS5UepCl/+ov97438MeB+E3RTltoMQYKhHKp
FPhTBLTgGL6KZfbIQuJRLnWFWiqMPBzjxzYgtSuV4CVbaDFg/ahJUIUoykTqlDn17a1eapeOIkba
oNgls+jrPqk/83n1v49LzWMu1c8symaTLxXRULW0gwGQ7XHrlSOJEBRPyVJFDUs9xeJmiSRxvmTF
aB6Srr23luorXeowL7HbXY4w9dkMiRF3PYX6z38k/uNS2LSbdDy0pxE23HZgrLTyB/JTx7FdlrVY
iJt9DrH1WATsg6jUmurieCNmANcwNlGTZrc+MWooiFhw5bFV7bD5NLeY7YZTEDoxOBcYXFkUcZz5
7X7uqusFPh8xX24QujCouG8TR+2panF8uu2zFbbjAwYrRlSs2w9WF+K4cTzyYhKxT+Mhf86SNF7z
Vg1b7U4Dc+ykQ33cG8EXZu7DNkhFfY67Fkf2pD20uDhWua3dRmz6oPleVk2xCSl7mUbSf3m5M94x
CPQ31UjeAvoSe9213omAUfsWzRBs1cBF1O/r+E5bGaV6habJTGYwP4Y3f+smn0sai6hHYDur2aQj
x3227oK0IxiJjmapgsodoWqIntuAmbUXRpu002jyvIpRv4jcAgVPhlBpMkxv42uj/zy1vvfUh708
1GoKPoMSB3xggj1xB/TwsYOgPsEVdVVLN34is4o5brnIvSN3FvfZbBk3eLlmirgs+Yw657MZ0TWX
3oRhJsQM1I6XqhvEd+wYwz2pAHpjxC2kCkA6QBnHcj6pyGDgz2aK7kh/H+w2v5WVrTHs0QPTOzF+
CHCOGzJLd9YcflZOVt0YjbqC6o2pCydLyC6SeA5znWNIwh1aX41DAGAciX+yyceU/mGI5JWT5clF
z0F1DqwuuUW9xATG7M+9Fw94irv6M063fsVejtVPPTF2m8jN6WMY53k78XImc/I0+DyNTE/zfRDN
d6Nb5BuB4HVTTjo+oqa/4x5iUolDZueabviVLmg+WJnxGI61icWvIBNNFN1tmSoXpN0cb0jJRLQo
4vOIu/W+Dp3yzk1Qiecx6/nGouNDFrF0ZuBLSKCjojZc3zqCuuo3CMDdTRCrfI/FqyEtAxeAkdeS
iFZCYAZpcwrH7ncCd4qN79E4wVG4yxvvWywUCOuEzQmrW7baZgVkZKCPtft23g59wPESQOgri+AZ
oDO34vIcQDvhf4vJlys7X3xWA9/mzBXeFm65f02sDX5qMbgOcdV2qL8aYY83OYE29Sgq9cNtk+tc
95y+hOfpCNeKULcDXLIV9m7bgMkYaVyFUb9jO4L52Eju5Wgtq2Yvea4grm9rgQbDn6PnvPD2rqGz
jcedUCBF9L+w5YXb7Vfv5cgHymuzx6FG05qMEwEMmXkzDzNzCbSj3HbJE3IfwXjT8NfN8k6rdAp2
9kA9r3KOng4nIZvgr9TFr4MUAS/qbDOBReqwlVBJFilMfCIG8gLDs7lWZgh9FXJyjGp7PTGCWJf4
5xBtIj6gGyiI15H2oR3S5jHEurGZW9jmHh7sgz2Wb6bBKURUyCYQwdbr3K9TwTLLcd/ZOBKa3Fls
+Wz3J63sf8vd/4pqy5YoiP663N28vTdvP7Pm30KS5g9vw/cs/k/V78ff8rP6lfYnsUiy0MNLx0My
RSH7s/qV1LGWA8SIihh+kvglaV6YlMwuUQGu7VouZenfi1/zk0kxjdjfRAL2If76m47tD70UErif
urZ/oJ/6Ta7PsJl8XRYeRM0DFJDmbwPFJOnEaAdZsNW4gJNk3HtOtGO+RhCvs//ldfoHD2X9RoDj
305xvZCYFgYeUrTfHivMDVpj1rZkBJe7QQ73U14f2lTuCuhRs19/yU133enPvr0z5Hwb5rO5juwX
pPQrEY9XY8alzqf/Xzyr3ySOP5+VLRaZI0/vg0vza/EfVHHpw1ENtlU0bTvUGJmniegTcmdhAJjx
eEojX3sNQC1y8rBsbaaADWHAYN7t1o6o7v75E8LU9ud2ZHlGStgKPihTLf8/cT1zZikG+aDBtp37
aI9s+whoyrmHBxHcjhEe3so1stsqG/oGpNoMcJ1FYTe7VNvp4CygmFejKdw7TocMnakKrhyH+0cW
OxYEOBcK/SrHbxl9yIDo2yuLa49la6qx6A4IQ1wyDHCVEZNjtwgfyKRDUMOuf97U7A8A2V6btbHB
HbarnGKTZJgmsKz2UXzyjHstyvs54N7DreTUMLjVtCwZN7onRdUUp9BDGl2X59YTBzxTKPBegEkc
jahez8NXo7jyGBusGPWeKso14RxS/3noh89DnxJ6PMGCr0Z5dLpnArcJTsQuPZR7mzjhvM0wLIR3
qBhimdxk3D6wKNfKnUjgCk5uROKwEyDjzhax3kM+FCfblruxtREOhqxQ825XJ2raGRjpEIpsBFtC
crgW/O71EHk72F0jnlpGWdgpNBX7sLPrEgf7Z0/5J5wna1ng9sxcwFW4dONhh1cI/lp5aFq9DrOW
l4eH8Z1NVev7snFB56B5NuxD33n5atbDRrrkRzBxtOqvkbwVRX0usMrGsVrrRYhh+qfK4Zs5qK2Z
wM+IH1JdHozmBmv6DjPT20AJ7zhf67F8bdtvkBrgAtUgfvzbFvSjP13ihnk1ObW5kjssi+swaPsb
03erByQVr6HMjWs4Nc5GwjM2mFzfixkWwTrkoyW6gOVy7pTfQrsO4lVV8aLlQ5Ww9C2y7y22uDsx
h+Wbb8fUXba7fGmC5T4PoqPUzoO0evHkpWI4Ahrqv+hhCYWx/ZCRuMRQC5oofM6rtCAz2g5WMGko
Zgk3xXwbgIp44BZmWea1ctM1+AVXhYZ4xLPwxje3mbJD4eYIOMZ6CK+joYrP6Ktv3ab17pp5kPed
yOvdx/f0fy/Jf3VJciix+1pow399Sz516G3e0uhtAaX+Mhj6++/+vBuV9cl0hGLAA+4QyL/L/fTH
3Sg/uRKYFtfmn8ldtvXJ8aQgnMJBke57zi9zIfWJHyxEXonfwFt4X79dhf/0apS/zYUcC/Yt2mZq
SOkQtGQuV8cvc6EomKqGQ1rsiSzOAXpwMyC1Y8oCiEq6b+0UiDtrMstVXaXmGmdTMa7NdPLEznba
bqddqc/odQl3G0xgJAkQhah66kmyKwZwWRLo9iby6uwou2r4GsV9dzQTfFbsLciHBKYLunxFHc3m
nEyWlETRmGFTZjHO7+r5VthVC/QIp2ECkYMsu15FK/be49ZM9QFPUPM9RFS37uSijPLz2N9kvqVu
zK6PzyGxMNtJJDFe3r7e5YIa1unyeNt2ibpKMMeT8T436xo12Z5Vq/+eMObG0l1PJgVC4OzLqTcf
5BzHt2nl1XveGbnJ7RGun9Pp+cQUWWxMnzRaMUsC7NEAMfXHCvOWAetG4BVmyT5XNXdpSFKpRoc3
0Ja5vbrTWQLZoq7wfSun+mrCPL1xUkYls/fa+eb1XJJ2mTrZYZ4ymLeYl93pLjIgc7lOf+EYvsYN
1mxGR4I9aeL97IXwpBBg0XwaXpaBQ88rFB6j7jZRGniPHaZGeq9sCMwNJw7U0eQKahFRIyp3NkHh
4pdXy7Y+yicWJ53foOQrelG+GbYxsQVtglcfXACWaFVd5tbqy/UsDO8xg8VwapKpZaJtmNfc3gyd
zM5GcKM60hiEb6VHLx/lYWgZe2dhPzwh+vDwaYZuCjRjZkFnG9bZlMo4lqI2vrV2B8YxdYml4ZNG
BHmh5WedeeKqAOTA4Cey17Q73HuUKfF77Olma/KpPPhRSXZF6RILbZZu8TrQnN1KVnSrjKHG16Yq
v3Rqkl9AScq9zIv0Pk+d4UJ36z1jmMlwa0fmuYhreU4yFM215UUbvFjnoMS9NphjsWtq2zj4JuEK
zFzEnQTfhbslzktkDymfaDdFBmUF/Y0qovQ6Gx3ayyxFMIus2jpPcwNuC/SAfO6kiAT7GR0dyzqe
HgAnjMdct9ZFWFnvwFmphjdAw/oUpJ4DkK1N0AHM3avOA30OCiTHFLv2Y2sqI1oRc6NvbbIOXzMv
gISVJnNbr6Edu/UN+d0UDoEmRAVVAchKmaYGkCjNSDfQBAEA+B+hiho8DAA+fRk8L392Sgz3REzy
VtQpOabbNgSaDlfMLnHSY0GzmWGdZELTZqBZuOW4QO6cxiK+SSLYlgpyyUV3c3cemEdfRmtY0sfZ
bj/gGbJOTtq1yJhqq/zG8Dy8NbsJDbywEoHuoEaEOUpzSbGWxhWdOAg5benS4kGL5FYwR7gOhjm9
tI1mEB2MxbbLLOSlyhkPUmpM6J2hqztV6eBWSac6R7mKILeizcahrSDss2VvqACz+CySAJVPOXln
K2rHK/gh0Z72pDsXZqWvI+ZFr26VIVFFFIkQTkxPFe564CCVHTxaTY4jS8wkDGl24YRdNw9uUY2b
2Bmw1cAJ38vY4rs16Ty9CcJM38HrGe8m19UdX7imW1ewEzYcqcC6uoNRmw1z0SE6p2jBoPdilOuk
UV8sz88vMcKT5xpzJApvs/yu7SokjXgsxSGYlfEgp17cDq1wn62gNoigB3F6xagXAimZsFdsKfhI
F7b9AwMaaTOWrp7d0rQ2Bg7X5zjCDpraKZwygBfz1rYm9KBU5JTnabQz20ijgQtbVApNAluPpKkH
R+YBYc+qg2im9HQs08I+h3k876fcc/cKTD1S3WbehFaC9hvK1EthLGD9VvT3tY8ggv8NjlWn5Uus
rXyfh0206ygLb4RH3QawdZEfd8i7LZG/gtZiYKzy/MLaPt4L8n034wzGL4VJu82HxvYYf0lxbNIF
18wmlbiKLI1Iwcn6E7KLmiJdNUdntvJLRQ2JMST+JppRrb2iPVVRwxnPrYYt4rWy53rE0yHvwxoX
fD5OR5y74WOdZMN38h2Qnjf2uO+aRaUve1FbW2+aWTiYcOsi6BVa74zJ9sJ119jVuZJGtzDYF9QW
+K1MkaMWmAL5OwxhZl3uyrFfGrRqbh8b11Y5HPKQjEcZh9cjvJoDR/XWWkybeUJH6Vd5s+0ai0jn
Eajmtmk6lFPEV9rZKbW71mQX3OWriNQPBHlRj7mmS7JjxNx7cfSHxbYBCrOKmubVhIt5GHqSDtZK
2zh0ZpPeoWnnadM7Yt6KWru7ws+He9vAlbglG9c/MJai50DizMx19FeaSdVM+Z4RH3QxW+4zLPgp
gkfYVkxV89NY8fIUfOYfcxN/1DxWznXUgvKayqDaWG0xXVla7IkPnA+sdeZ9gbT2xRqD95RLK8uD
t2iU7UHnGCtUYRzQIa06J1zXbgl6xHJKLDyGfY+Kvz85SWk+IGhDwdoYCN8ikp1AWyqSMOComc7G
K0aLIT280sVv8mMMGu9kMf1/5vtRn6Wq+gPm4gVg0ZfveYf9S4lKnjpRzW84PpCDR8UlSLFkZNk0
b8MhDx54A3JeU6FynOqNelMCJpnT1tGNFaK+5Q/aQCtGa18RWnpBymieUVnlL5qVwnZAAQe23hjQ
j2tyOg7C60aTw8kkYsmwbQg2BhuZNHXqVWM3NByh0vHWUoXn7LHgRsfCwV6LSwmnbTQ6yEzHsTfX
Rlt46HL9orynvoiL6ywE6bsxcnYEWDvtdXQ0W2smqKyuE33rj2Nz0n6T0VXb8fecEwc1nuPpNfme
ZI3bXvxk53myTSh3GRla1mMrh2w3Clo4/p8RXw5kfmcnghltGZtb9pF01UrEBzOPYd9LXd23Wt8u
ALmiIptvbNpjQyzdpmcEulLmmJK7jIJ22eWs6SnHdx2P4w+0X+8t+I9XQDxvXjWYKZuUsLz1jXBx
WfV4ZmQcr4vS1mdpNxnFKr6k2RENqCYm17JFQKwzrqfW7O2TXatHMWuMQwKwjgAutwkQg26iFnhE
VrUh4gG32EVtH18lRaFvOysw9gG4jYcuJZVVu5bHVKTwrr1kCt6VXTPNaZpwX0SzzdvQ54+xW+Kb
tVV4MfNoxJ0wdDsD0wTK6sx7IEG0OdsFV+c6EXOycZ0uq1Zi8MMT4UTDriU389iMsv5qJcO4VbBJ
L3nc9FtTl5L8Zy5O7FLuTQ+zcG1kAUPpGpN8kNk9EfOqwO0Vx6O7nTObpS2kx3ItYi2J/DKjHYIh
0nL6VBvH3C+dK6magTXk6BzyEft70PnRFn0JSzJDBAd3clLMENoCTEU6ZCUYJqTeoI9xFpQXqTPI
L703i2ax5cQvbtx0h1qn1b2JcW8zihgFa1xIUvFm55mLLuP71yi6g9gTWwfy1gmIkjrIAGV9j9/5
hypSde21bvY0gF1nSlyY25pVPLYoVCwMsJ2dJOUBfmoFkycNfK6aiREz1YC9ic1iPLdmd+ea7Y46
1TwTRZKQptZ8NuBmE2cW3QyT8aUYkIPYYek+2cSjrzzVoNsqaVoqYrbXlTDHU8U4ZdsQn8oAyoEo
0LdMCbw+B/bJBwOhZU7m2L2Zut6j6cwuUpEu4F8wgvwO2uD0S2f5D+aKwvl9sPh7n7YMOX/p08gE
nBNtwhhkbYbIc7EmGDilEZyrmNg9EgfYMxhPwCzGR2VZ/sukhupWRHN4pSZRfwlwhm6dgQKf9YkI
92yuq8fR9ucd/IKaDWoaAxTyjQtcWhHxpSVQm4J22Sr5DqUEMIz4xWGLbFDUFCi9RVfsK/Z9kFxT
8Gax8S30ynBjG7C0jAQ+DGuW575u2dR0lQta2bdeRN9LTI/MFNGCQernua8LAqBunIwsApYrjbvJ
azUfm0jKVyr1cO8KFNIAu97Kwb30Xf+A8xVZPflhGyL9po07R9Pd0Bdw1NL5DOwDjAd5ItHKRF4Y
0pVGzLWysZk5tsPGfRddzaLQwLvO5Z5TFG4Hwyo/zyLP0LnGCoJPE3nDOYBceYxqql0mbsK7I5lh
uG3xwC+gFSu4nqJUfHd7M36vyKzdVI4ht+ydxX05p+A+GPbB40Xoui2nwbvCN2IcyEAE4pzMZY1G
vo9nxA/m+H1ox5c2mutd0bvxzmnybOeOdbZDMIxkqnJtWM9zfB1oF+5SnTedBIWL3qwvh3aLRji+
ndOCGzoqxCmgf73ErFKhlaGpu+eL7h9Hf9RHUTrDEQYCYo94an9UUUcpmGs9ouzShMb01AvQEmt8
JWsFLgk/CnU2kE9K7uyj/BZLJc4tTFEOgRrkYFeLnUkvD2xXY7Wwl0re/ijq1VLfWx+VPlICiJlL
/a8N1Z39pSdIl+4gW/qEPhsEG6IQumebQLutSr8FjEaD0Xz0Gh6VGYfR0oLYH91IvzQm+dKi5B/d
CvCKca+biMsaG8YasT9hAzbqyG0YkV7nf7Q86qP9sWRTVIeuluNaNZ51GhsX1o1TIbxsUj64gG6B
IWM3f6sY4uLKTApYg0N3ccYGPoGaWNqqpd+a6/mhahxvkxnVvSHi+FAZvGA2k/97aNgOHDwqZdww
o7EqKYVPEhDNFUHoEWCzgCi3Pulx5CnKsJXifcAHZFqfRe26617Z9oXEUvlc8x6Qp7W0jPBExzWr
CvrIlGTk6yjtmBTQZELqIx3lo/P0PrpQf2lIK8tO9/XSpEK7Lna95YXnmg62WlrZeGlq86W95Uku
jS4tb7M0vxCzhou3NMRqaY1dI1RfCqf+MrZJ+tVbGuh+aaXJwChei6W9RlRJpw0qaDpES/vtL434
9NGTZ0t7ni+N+rC07FCb5OdxaeO7j46+WZr7YmnzQdQZx4RDOg86fkoOQc64dJkMpMuQAKyJPLjL
4EB0vb/55yfqB9bhF0EU1lsBFB9IP+M3RFEfnvtfDtTW922ahNrYT51yTkUaHzsRKMT8KPrx4sOL
9W33YjqdYSGQimGLYmHdD0JaX1oV4SlvShm+T0OvT2BhYSIpq70AJfBfKAzKZ1tV5z4uyGUwgbBR
POn7BgAiMBmjSnlPE5s9hJzSA0qWllagSyy5IdlHnloVFriyJ56V7YuByiqYizfwpNgGoI9gtZuX
gyz9ONOQOXG+zR9nnfNx7kXLEegvh+E/f8E+wov+9IJ9TAoppsUy5mKb9+cbyIfDNznjBH58JR/m
F/ulfjNe6nt9094h9SlujexfJCp/JGP+9oiWycZu2R9yVMrfHlEzYMmBiwb7wVPB16xs4w6CcDLd
pGM8C3J64HA3U915awvpy1fLneEAO0H6Y7bcETPPFAc7ckMn3ktJRb2dA5s7XACGM/eQc43PLQrb
R9LtuOq8Ar7zOnWkwsSfTg1uurI+2znhvV4xj0cqGc4nxikrT6r7niTN/UD5ybAhT3ZQX+rd1Or6
SpXu/OpByz22OsiOQ+2qPUwA4ymPdXPuuyK9iwjOvhKYZXDVUxA/RL43vzk6TtC86REy5Rg3z+jd
lvMrF9nnj7fxv22kvzzQ/39hG3wgbUKA/npYf/09JGnjbXr706jetP74xZ+Tel98kq7JIpsoDbFM
1/krf07qlf+JXSXje+uPuTs/+ZuG0/vE7Jz8CzLUPThh/i9rbPeTSaawBVgTjSdh3fLfmdXDpuAb
9sv3AQ0nelAw5uQCOfxly1bg1xoQUUpH2IP0Do3fOOFB1EtzrBAON8sJFb2PaZadOg9G2pGRPqWS
Nalw62krmXfwvu2nOkkIHug8L6XQTYeRuYNBkBWTqLHe50ZkP/mttKk1tAnD0gAmZbsFkg5JlYm3
33ES/4CBQREsO6m6OptGCQSPdNu164ZRCIYVrk/rSujoxPV16763jEff6vle9LJ/IQc0WxWJ8reW
maXrulD3JlGpqP7Nm2kqhxV3cM0t1w7NtxpAM1w01FA13/kwPJtJ63eMVaz57DI6yDbU8ki6+4x4
sjnLD7JvcAeLmFGYq8ZN6M42XusJ1ZfDXK4wppFsiGzy7nRk+4+q9NVeW6lmRJ7562TKh5WNbQ4g
Yl6tst6HrBd5iHlYfj9TNeseq9xYyVXdlveWb1TsK0kezrclAgbzLEQQo6Ir9HBXc+lBEC1Q6Z3r
uMNwGqiBKnLUGZZNv6jBbrRWsICnDbtgwF2iKd+F1gQ7KeNIse44vfzptglR6d9ZjolskPDJoDmk
yTIriyplzcfe7MCVBYP24S0mgTVs+x50IBqeKHsZMqqJO0WtKFCMKeLEs4jMnzWe/3RaMUge+l3g
tcNedmb0bpZVKNd5lfv7oumtZzdgBkC0UxguebE/fNzFvaHriyiUOJfNVKUr2zQOBpv0FziXI66K
4KLHgjaq1h2g4TH3r+1Gb/Kpju+sODV3nsnNXpL7CnLABTfaOkX7bueDPJTo7eN9jLfW2mSlSSPi
VerRpcMDmIBZcqJa6dRDZhnTWRMvuIYFDk6j7TJa8Ynoa5u9KrTJaE9OWnkyJXo04q7DrRmrU99M
C87Qmh8DUL27oS7dEyQ2tHvse2ARw2VQ/Tot2/ZhchL4e+xeb43QCpi16JAdiM26FXj/hN+3jCSj
Hfhz4b5EeHV2gReRnmA3RCpk+bmpHVzBsELjRz6t/RWeBPDCpkAWt5pIUDpOYaqrVRn0G2pEDA9V
2B/DQae3voIh1PHeBhBuAuznoRjRKE96ZAQ0GxqsXLPwRXP5PDIxuqunco+7OtvWvjk/Q2SL36E/
6m2jZPWQ92G7l4z5eN2Tae8lkNylj6QU/1p/XXXT97LvQfRUk8i3agy6Q2okyc5rpJG+wJnzHnSJ
TWVtRal8raYOi4WZe85xIcvuRoZKqKhRynmG6LfuUPc7s2ZkSjSIBtjgwqOj+KTbwgPpQHs4ZL5x
MqlZOGHy8dpzzf4lMFtEd22YXULfrk9tlRQnWAE+Vu0aS5Uegu4nr/O/7cb79cL7f/+zjA3L7cag
4K+vxRv0XdnvC+yftyK/98et6H4SsEjZDzNlEbgzAaT9vBV9GwGX8ByixhFQ0PuwXP77rcit58Cu
8dijYyqidvubs8H9ZKHIQq+43LRLLflv3Yr+UgX+6VZ06YoUBTzrcnRXYtlw/1LIz6qFOQIW9TjF
Nqk+8i2UsY+ipMlvImcKzvQ87qYw8qeySqFQpb2xr0ERvY2OK68T1VpYe9Q+cb1iFVUanTbScqdQ
TxSfLJMbH1tAvwTKT+kia3eGu4Ex+EoLvvq66rOHNiIdO/GZ0avIAWqB7L71rmkXWe+4zGNlgpNr
CO568s098kbYXAcstpLgaYwCtQPBzf4gd89wKbw3dkUZWz5Md6XATkUzdp3lM9InzTifKfKSigFq
yFB6p9uBmWGidjM2WmgCfW4zH0DiNtJJ9GFjAOLVd3Xk4Bvw3xF7rXSVnzl9tlMr7gkSvCqbKuRS
gDtTih+uFY8nIwoWAEiq5r2ImoeY1/a2pMPcDbNR7WH0PY0QEDxDn3uXF9PvKvucMGpHoJneOEW3
rw0iC4AcXNtuD9jELPN9PHbfKjHNN8Fzi3Bm1daZv4tqBvVWlAE17Z49d9oQCbFlNjjVuVOvmWz/
6BwCc32PZEwgWqPyVsWUPNbwC6IK2XMjIfEMhNubeCY3xpwcjKm/M4Q7QLxoxyfGK+7Rlvm2gnOz
idMStDaIJUaqIQb2MHpgrncf2cPXwEVQHLYOY2x6GxK0c+eWOVSyAhlCYEdAYtMEpGSvOidA66vc
IzCv6dHOy3s7rR0YZTZe7SSPpgczC2YqEpoKlo9JeDt614SXPNkI1fdz4hUX3RjGuhuIXDWd2whW
Ckkon8NsgnpZIWHokSMmdAkhQ3Fjxm+L2FuHurki/mJyp5i3qr1h0fAjLR6A4Vbom3374MoqY5I1
JVvwws44rE366FXt28Y6GGeEdKK+mQYGoS6E0YmenXpgV9bTQgeDdvMsCEVYVRFZtKO3PHZyrE1j
1WSV+STIVl8jQHOJfVqJdpkxgUhR2trXVHiFa705sPWvZsv/Abfz2k7nlWOyEg7qi90pDHvJhgiG
+2aOrC8DcH5zFZfx1ul99eB7hLoHAZETYsJLT59l3BIt4F4sPRO05RO6VJDf+q1y6v6qA+rbrdvJ
9S5ZbVcnO2inq/9g70yW4zbWbf0q9wWgABL9tHqyqshiT2qCoCQKSHQJINE//f1A22HL5+x9jmc3
4u6BRzIpigVks/61vpU6jFlcmn3WYVfGR4OT+xUR6+4qT6P8JbXjBczbaXlKRGJeJWncHCZQDows
OHrxqGoIWOb0BnJVrad6UJfEs/sr3y/zr5ihueHSb7bOzSwjO1B6x8RT4bGiDAGDFpO91rIWPMQ8
niEXFI9zK5Fdq6K7Ts2qeCpw8e3qHrbzqqnC5r0lGIGXIOlvANu759BlII3FbbgDbGTfuNbcXbdm
Y71ZmA4IqNBBM2LYPFKIlSGFhu4troHkw3ZGziO6mJofNF4yviMTHZ7nbpDntAqHkxvl7TGPUH/X
qu/NSxCM5v1g9/WNBWzhVGQqeeI0FIITAxnOo+IjWg2oLxBrNMBPqji7ovL3Vi7yG0yu8SZpYU2m
eWKW/4MjFY/RL6s2ZijUWVJy7AIBdyPMsr+u2hlxGWXrGVx9HOc3ldOo/irVvb6plyaHLjLHTWUN
HJ4EbTXWkM2bgdoRCLggz1FTn7xeG7vc5gjY++mSldWW2rix5LC5BLQTR8ZU23QooVLF7sUrTSbh
ZnHjRx7903U4XyrPwpgeBfl5iuFh8yQ9uSD+uWKE7kHDy12TYHNXyeQ+cgJLVl03FLdeFwfpZpi6
6LEaBoFLivKqea39uS43CcYRCkqGhACKRy8Ilgr6nNcaSuS4N3GtpNse58AbJTW13GDjU1t3tson
m9a7N8bp1zpv550h0Bd8Y1/KtlwzQN5UDE7XdetjJzBzOj6L8mTYMSSpwgLA2tn31diekqp5iBo/
oGrYbAnyuRTRyZHevYihPodwHDYQZv0hnTjcMfmanf4YNerkS15/KScQUdQKDSVCV8q5eVuQCVvV
gxd/T3p3oA5ncHYGvRErAtzujYJFyxpj5Ts/ydL7CvfRpuri4qabB3+pMORRmklqcXPxzNNQuQBE
ulSfpGuE5841k6fEjMUpll59k+HfvleWZ16SzBa0r8u+PfJZjyeKJOR5MCHXkyvgeSc0oX/4MTDO
Fd705IOi7HI9onbvmuVNmZZ3JljeHrG8R93yRuU6oF0lGu2bjIqRu6qW9ckxmdxNie4hx7NVll6j
3ymrgEyIc5Vak+UNZsDeXZvLWx35WflIzep45qIfX0EgG4hZsA7QnRsepxkmQuUoIvF1uTwHdfAA
zi3/KpfVZF7WlXlZYZxlrXGXVadd1p95WYnksiZxlTSvMuLupzL2WLLGtileQFB2V2lWhIszIj7m
LQy6vvWC9zQX07GKDCJ/XuZfkiJkYQz5v48cQLzvSFPJfsQLscMe6l34v43bro7Rx2ADbaX0fBNH
w7SA3KIGN46eQ04oGZqf3gVhRi+G4Oo17HwZMbSuYYYVSGt2Mx0KB9nqpvTTYG26tUuNLpGleSNC
oDeAqkKK6EpSHdULSdsGc7GbVQx5SuYBB4VBLz4JvK/Yz7R0mlXXBn23tSFYDrx2EqqkGRsMZ5FV
J4T4aazhaMzuzH4NGNrk/r+kQ6oyVfugbm1sTr04B/Ho3o0GLNQ8tPW2SR3rXs+Nm+GUigpzXzNp
zbdGYwGZjshRAsSryFH2XFI3QZiTVmv8OTG2XZFzAiLbBOfFZ9l8nfNcYi9LSou1ZUrTkEfMqq0T
urW4zyAfA62q7/xooh00TaGf6alaY1k5aDcwIWe3T21/8kACkgoyz34QVmcHsR13sRGtOaPS0tJA
Y4SJuvjEmBVVYTxu8I8NK4i2pE/79CtFyMNuSofvVmnjy2hsaiMncYnMerhRLe+op5tv0v8GNjG8
nhAfWG8mgdedbcBWtbNKkTj9REHqsO5TaEubMQ8gNA7RIUFAws4CD7+rHaZx3ugd4K4Xaynt6ygw
7ilnYs+Tln0y2P+35lx9z7Uyls8IjtXE2L5Jhgvb+dNsVfKn62Bg0x1QjyFX85GWBkz2VOo9W4E5
bVKrnn6SXecZxDhS2TAzWzNd56H04/8E2H9zFf9PZuXf7muIhf/6nnd+L5cE+38jfvJlv1/znC+E
M6GlBI4rsD8vN7bfr3lEeLj+hYiYjkB7XKLtf1zz3C/M7ojPgyYBXQO85s9rnv0lsIl58B0Z2YQ2
F9F/YFQWn/OYX655nstfAyg6dCExu8HfhgFurWkxoqLvkDayOEwgwdaxDK8By0JSZ0Qbr6nLeswY
2+2dPnfXcTKPT4Vu6QG15EsTh/XZYLR8H0fFePTF0N/r3rmzyoL0wGxxjh9I0ApgEqShiafhjYqe
8bkU5zYzrnQD8N+h4eeYZ/reAApNrGFMvrkAh1dun6IW9vklDYjLA8KgjnylPUxHHF7ZNbmO0tHt
ev1jOHHFQHWJiEJM1Zk1a0w2i9t4XSQKDI0ZkTitMh9jc+i4h1CH4wP3uuRVVtUHTaKlv4lbG3fn
KNOvUsCfC4V5oHDqJmXmBKw+z44DNQcbjTl7Uzogd4g2b5xuISa5A6ljWizu0zivybO4h6lDPBuK
pVdVQkCbGyYgfS3hlSXyFajvYtKuuEwYZcs/iPHGanBt8GjNwvYLMUqbXbxrKAZm3xNhtuKOiu9j
SH8MrnYozIgY2yYT6DzLHLgMavNrYY0kIoFh9PsJOCirmhM/9MO4bm3MNX3n53fIp8Y+H9wIM4YT
mXcUNwVYa+MBNAFgkZ4mO7IQXLIH9jCW0owq088TqlwOqxGewF2L4ZrGV8IhxIIZQR7yKomNq4aV
/ViNeZvuolkQbHZGnUUwmCIE2CQwwmOvdPfSiiZqrnTt6WQPxaS/rlu3hsgazrW36d2JnQMtpMe6
gwqNPlg4kO5qe3wuKWTp6QpAQl85fk3Usi8KgF30doQXDOr0KRdA8/Hshb7LcjnMITXUVko3i/aa
89y2DllvcHKLRS/ihhgDud60cGZWTZtzeapotoPB3N+6jq2tuymjm3MdptpgA3X8HAOCg7C8ChsO
zvcpiKLk4E/0+iGwUZKN5zCO5w1HFHFjGANFR5Usjn7TxTHTxqqpGLPVMFzSSWJ2+8QIDlaz8BuH
8E73nNQz02NnHxAqXYZkZltsesRvzmI+Z3L7JjCd11z7lzEle5tLE3OzbA5JyyXZbcxzXnGnpeji
vl+u3ZXzQEHIdrKc6UYu19giW8Kx9SmNo42dqSsvOXtkbzhvhuz98YyNUvGRicHdtMVUXMVmZl/k
ZBsfPM4bhVeSMP1FtNLYlGNwZ5rUg6qBEQdL1I5BWrXhn/rTnu+Ktt/ogK+xrOq1MER6p03ziu5i
uRkaQvYQYx0knNTj8gp4QubZQ1ihznoG810EaT1NQHoGKmF6N4gPnzpBZyePBdr7Psv8lI3QpkVu
gYZjV5hA4VCwahVKr6d5NgEFKOPdcQAZ1/6e+reEVLRiVl75S+WGSV5M2RsfU32NqgRpO7JKdTZl
6n0Np/hB5IXcyEB0e+aLFa9MuiMlADbZ9pd5S+R/n52Z45A14Q8cNZMJRHcbBllS5tFV7/oPLH3n
OIXnZdeToPYt2LU020xpnu+cSXh7bLn7guT93vHMHzn9XQTwpo84i27tZKCBdna8naNB/kL4+Bja
IPvWzfHPv+xO/53fyVtmWX8u98v9kBwN8zZh2n6wdAD8ej/EQd0bvbTCg4E3cpUUKZaMOSdoHo+V
e5vAHpJrNG36sFw6r86mGuVrnCo0hrHvyfrhB0lYJ1uPt85T5LpSUXVL3UrWTDyXMuAYY2XMnJZ+
oGfVlNZ3Kr95n61mYCSGqOLXGE9niL9wQxuxGqumv86shLhiEtPrcdWQ43ihiDw6ckrse1w7y2oC
ppWVpf5cZWAS58exII9Na/mEhY33kjLEpim5t5l0fxJ4T+/b1ECCosXNv2rwI1w1y6VLRICkRBvv
oKx2p5y2tYGW2V2HrQ/psD9R6T3g5y6Pizf7CP4EV6Yg7ZaJMNlQHhauRRl6K/pa7+flmpiynJ28
MnKxhgiy8KAiuRRIDR4g2nPjFtd257cfFpCyJ47ralvbSc6zquui3OvM6kaKrlTYAVyUsJ0RuuTG
M9OGp5vUL/ebykqzBzlpazhONcm9PB24O7uj2I6h16yJUxYYtmKoqMvdm9Tc4sUsbqRq0uMUW86l
cxizgz6NyzcWBUoXa3/euWrAJqYYEvKB1hiSqi74Ebdut5VletfkSlx7JvUVCrqkdUYLzAAzL0fL
9rdjZlvM8lQQzMK5ZEA3Dwpj78PfgDDXG3uLGeWF4ttohZUj/h7Vkrd1lHX3dWJMTJ9AL24J5kEJ
Q6PFLm99c/LIOpijLtBnXRg0omguOVrDSlJAnheK2oTauma3a7CEGz230Zop0djUW66uzZrMseRC
Ahx9OlWt+5rE87jlN/dCbkjhtpN09lBHuzWCpF+Jynoswlats248NJSps89V+3C0f+AXGnYeBpoa
kA1OXgdbcdJe2z41PFZ6yoV11EX0EsX2JqhJl/TDN5L5jJfCG7PvUTW7zt2Nc/cDa6p1k9X2B8NK
+AVd5Wws32x2wWgEB2W175TN6utkiVNqL0t+TJTcXGPG0HcFjMQrrcF1pJjmmE5l+CF6/Z3DIvlZ
1/7RO6i8Bh5AwiNxsCksKY8OZbEzXaD7YjKtm7IOz0QDpjWGPtDGTGg3tm+pnd1WJE467E6921Bx
UXXgIQBqh3zYmYOLsQ2QPnNvpyrdnufKYgQ3T9OelAfq5Cge4LWO59yy5JUoBFoJOQYOH5Z3gznT
usvcUl/cMsac3Eu8ifA1YjSGfBWVVNAw3hfDShi586EpcsUcbFU/wX8FK7ZvtXO6WRHDpTPVLsSC
DHTjTWpn6b4exqXUrwMzOLo+gSZvnMQLeQw4hH0DklC6soWo65BhK2Wa/qRpD4JhEQE3TbsYV5gr
Rl3tjQaW9pZShAK8B3t0s+zW2efGXX1u4t7nhm770KYPwedG339u+vPnAWDploZm8XkwcD4PCd5y
XkAcav9z2/oHty2HPPu/vm1tPvLk77gExlzLF/121/J9BmdUo7mIn+Yn/OCPu5bvYTSB04UiylQt
+AWXEHwJCH0urYNct8xfeAnBl2XIBuGABiOL7yj+yV1rcaz8Ze/l5wyweNF+gqrmLDO8v0EMZOlW
BT9evZdNMk+cder2sevj4TXp2/7WHofHzmiMeyZltDsnxF3gCofAjSpsWBuX2fRbkTX9e1MreRVl
YbfFY01UfQ7JjDst8n4ukW48c7zn2zMxoTn3Ar09/0g979vQaW/D0djY1gB+Np5y1AV1O3qsRawo
D7H0C63bxbsKcLFQ7UrdQJRlF0Bi9xnpxiPRUXQjm4gUbEaTFPnMeTUBrR1y8HpQKnwdDVrirAE3
O8UUI8NsSoHxjePzFgJIsK5QqKb6gaAKQC6NImxXbYjICsas69r6gRO/QRguLbbxoCGmNK17kHhk
95CHhhcxjcjHIsp/hlFVnujfSr7BNCVcOVEUSR5HP6adKPZpBI5r5Xg2dRQ9NRfMkEZO+jQpW18z
QIJrz2GbM+sgPA3WONAMOncQRXXdjl/pEZS4VJgjSOoievNNYT5amRFxrxW+0gYRu3fPbtunsLX9
LHiGZajpD7dw6tjBXIH1DhX+zM+H/D+D9v+VAOMw4fg3S8J78V5+IlU2svuvMszyxb8vDQsvRUAX
BCSHevIXD5pvfuH1/wtkBQXkDxnG/MKf4DjBxyostBO+3R/TdiArHosNjA2Msy6T+H+0NKDn/LI0
uEFgO4JjOadzK0CI+fVYXjUGGYrSckj1yZ+d7934jbuvvPAxjfAFASTe5hMD8x58mowxI8/eG1L3
vgu/JktuwTLiI9yo56zz9pV0d5ZhbNPTnDbX7UANk0+8K+rPyWA+13SeZMv5d3b36dzAgFurBPRD
Xh1JvRED33kDX1uXpzxtDg4B88yz77zGvXE9ez/Uzp0TWTdAxYUXf4P7u5uqkBxI/UCY5mGmXARz
/tpJOF0VhIPbb3P+MMU15Vbz3h29ne8MZ78K6PYtTlbl3JTO+FzZzrpqyws+lm3FgSMvuCyD5UB/
fSSlHYAvcx61B3V5SG+LyCG9lywIWrc5zBHDV3SXuzb2D0TaKVN2+69tEz6aQfOaOvzKmAnv7ci7
guy7RcL5TkUlSnNxcrD6/OXJu/x2ifo/ZVdclGSgAKpy+ZD+vFvxYC0f4lLOSXUtitrfpbSpaIRO
6Ira5jW9Rhi3CroB4qG+dafp1m8wniYJlL7Z3xoduDo+mX//A/yXMMtC5DF9z8RMwm6DPPjrU8SU
DP+dkASHsZBXkCyCrtmNJvOHnowgnEFxi43X23fRfKEw6LkvpX1iOyWx5OEg8Fcfk902u9njeAk6
S+58Kyq2kZpPY94cunoZ2gYoPuaS4pshvNDgXWwIFaK2A0zUTJLy7WATbxtJ/ygVuWQV7WON05/b
f4Q0rsX3iU7t1TDOd51JvF4zHeXde7FrcYQUeQ7S7ljWSX2t6io+/vOF9H/HWf2X/9f/izZdlowF
qvFvhWqKb9/bVmqwU8kvy+SfX/zbOhlQAmjCh1qeZWYoHIf+OEIF5hfaBBfFmvseSvHyJ3+sk84X
y2RxXVBQpkuJMz/L7+uk5SN/M5QOPMfiS30IWf9Arkbt/Ns75tE47ghOSQE5Af6+v+kXKLl9xn8j
K4lKxI4qwWZNi56AjxaW1IrbFXn+bZNZWED7OMLY4/tLy4wzomCuWq911gPeqlOJSZW2EVWVqy4q
anyHfv6QycF4dBfqTDyqz9xGcmwK30SNdf1ir2F4b32bBVmXOvnRs+XjkmCFSjYtXckUH3s5DbEl
raRRXgbH2CoddAnhQc3kob/zRlUIwG0PcWdP69k45EXRBeQT0Yk62TTHJMAfO7I9iB3iCOOiaIzb
du3nE0epUgw19/qJC1yXz+ZD5Mr81R7H+EEJins9E92aUHB8nvIa+Oxk9PM3rqbu1zFxfOrSAPEO
YmjWCzbCTUUoybxSpqBSi6B3mgNSHrWGDTVn6bY0+O2UYjzGNMZtrQKggrQbXK8QUdHrJZNW5Vnf
AhmA8SxVR7NEG8jsRAVd9m3wQhSHLM7DH7Ey4ieBnXNhilP2upK+IdCaBBn+FsfqlrCIszJt1Jc0
jcV1ygdAhFI5a2y4/XFUzfMk8bNsfDFKaOsaSkqeliaIjLEuKfxewok2PvJzRzjgXZZO8WGKCPgn
8JLKWJEzI15khhPtWCHrU+Vq+D90CQh+D30bj+TT43aFY1jBSKA1BqD2EBL+K6u3REe6XRddPpEX
G6WqEWQFRUCGSl6xplK1ZpsiOdiav8ea7LLfZM0QgCqIofZSFtnQoKGiJqT7LKSuFS29+wG4c0h2
tlAjhThGuPc7Hw+CiL1pi4xGete3g6za0pCsn1rHFhfqeZ1T5HX6MSkT9R6bdpIC/OaOf2TLswGM
BWP1vS7c6U0D6bA2NIlgSgjTpvpqEYsgdm55brZP07J5sLDbX7ieGNFmrobwlGLRvRRJTQ04UA1L
rMMxaO6wR4/P2kFjgPZoGh9dlbogJS2reXX8rPjm1R7z4pHdDuJkODzqsrThsLQFg++m5YR9wBMH
KrE3khIQMPDWIRcgcPHCc2EYhufQI67stmq+shnD8t5m9YEBu0GnckUQlIRhaG4othnrNUn+7FvM
y7V8KfQakl55Xh9MqdNm66CYoLwykM+BVjIcd/LRfIkR5V8XN/LEIV/Ni2mCDzDoFD+1PQUuxv7a
jBHJmMqs/BqledaJpiTQ+4hyMb8NMUAA6pEwRtjfVb9EKU3yYd9cfyxAhlrO+DYymNrUXQIEy9DD
I8lROBiBHR0yBn3XZZEPIGpjgpA4JvETT6N+mbUPpTfWrbMVIEUYcrX0b5mz166wJ1brcqrKXYYr
BVU4iA7TlFA+QQhe4UfjpECfVmUn4Mnrhp1d+NFzKBADyxYn0MbLQm9tWOytq6ltqnqNx7reJHPp
pCtnlqa1LoaxUFsBeLPAfl/LD5JyydPsJ8nRzKws3jL9p9XQYArwavCiWDuOiU23yuq6eyvsNCGF
bCyBrUzOvNpz4daXakLVI1yZIqAVM2AOC7b/qvVdFhY8891NXWcTtcWlUldtofWrXgiwmGx+ZEWf
Ij01rNN9niMhhtkC7ezIz3J/ooe6Fel5DsTM6CEZ+xcnWlLdUZK8WXiSSDq4xbztBKRdHlgm62uO
WUsevp797xqY/SHmmGfW0qnWQdmra7YS3Atxmtc/HCPGCYAYhLeobIfhLDtEonXoxpNLeiBNNeF+
UEhr9DCF/ObWnn9gmpcE3KZjy95kUIk+JmfJLA9EkhURtD52+uLQFE19HXmyJODRGstQyYXBWgx5
1u6FtnVyUAWxAUd6LYVKM5SZNZ2ssaQ83HMZlXY25DcGV8wXeTTrn9xMA4wyAP0trTWVMvPI4hTm
5UNp8Lpp2El0oQ11/SZ9bTqYHYLgrq0a8Yy9P+KlqzNxMhMlnsKmr199lQbXQZrHmPT91oDtXcX2
bdUG5a2HteSp5jrLrzv1eHx83ec253oLGr+W/RlOCDWRzujEz2ROTEpMqQf4adamFRz5CRN74/VU
CIHGmIK3dsScygYl9Jn31i0OkSNA0zUDeW7WpubUF2F6M0QK0FWAS2iMBGRAUBxEb3NDGsk6n3Nr
Z6Bx4ICN/JcpNYdVDi76NktDc00Eg2rFQckL5+9yncyWxVHWU6juSf3cMb16qkIb9gVVkZXp24/g
sZxLluPi6AgHHmq3MB9rUxkfIlVAa0Qsuk1lK/sKNi5M3EQ6ETCN2L/4Sj4qZRqXSE0RHJmSwQV1
UNnFSHFTxU6lYOdM8J0gK9MbtCUjX050S1j4mSc/XTiPOU5BnoTcrt4pzIxwH3YxhjCYWms9q4ES
TEjjbczRoYeD8z1PaE8wYLs367JTya3ycn0qCINvq8GTX6lPfCuY2O3HLhz3kcRu5HuFfI+6CaBu
MJAxpVlxD7p3PlBcVe5qSPRItIEwtuWAYD51Cd2oQmvRnH23KL7mSY8ZN7DECBYwz7CdlY1JqCGu
WFw0joYr0IztYz3DCgQokzDdNuGjgHXinYvxX2eM8mBCO/beYQFa0/HRP7psLXd0ojIZhUmRUTaX
gdhViPfvM4Hzc6AZq2xZEZKrXkXJTWz24sF0uuoCvB0AThvjagPz7T3YbjLV69xZum+0LfZpMAY3
02zG7bGESihXIcFrWBF+/l5NYfTWTVl236IA/mzq3PbZlTlKcL0l7L216sVAY02NUWFo6Mr8IkcS
9isXtyr7d4GDp9GtpFfWUdOLmIlS099RXbKqBMDiMN2VK4bD9rvXc2imEDFOnj1HJw0DpEAZ2ABg
qTtxyiCYSS6zH3It9CPLbhquIL5pBVI/9V5ARognypd6cBY1ylZWWLcDvKp63boa/0JnsDx4pR/v
vSJv3+IpU3cNRukQKmYnr7varI9ekvGugopKT/5kT6cG61W/hibW3XGAxU1Qh33ymliAJVb50EMW
p/PZfjTTsX6hFae6hISPt7iS55ug8+KehmLHGfFLNHyiTSPnYjUV/g/lOCRaiN5PN0Yfldch+e19
M4dYoZuhNQAW+973eQ5aaxM0zvTe0pHDCLAoja0zVf23VOSY6PGQdcR+EvwleBjv+qy1ut/+lbik
yjU+5P4t7P1HO6U5YZgH94WX03ZWtSyrS7AUDSR18eRm+T1lhVCJ8lifwiKBhGlHqHTkBnB0Fi5I
Arht7aa0BR88EmD4wgCDHQTtLubW6giKO7my288pGK9TaCl1Hyrl3dP1U525vOQnYrj5qwEqPV17
hQ6+0xmb7OlIcBl3er57g1e+RxTN0QkDOZnTtRrtfgIyavXZNZQACxBlHE+HFljs9yiP6Z4pTTII
JW0j+Squ/GXy2AQhA5oYdDc714dhae8jjiMIJH2a4cvrZnSLjQchR2J/saXYCxXKpz7UYmeoPH2d
DWO+N8OCxqIeXyZ7W9I/W1mY3ONTy2/Kvpsvs7TbD/tz822iVK/4xTNeHuLofkom/W1UgT77JSW+
zdAfrTqOPebAvfeeKIlsOzhBQpYiCn1mnd7UAQAR9i0UmmFjDjFFT4mcsGDofOmiM0sny2hoTuer
sa/1IqMqjCjMa9xXM7ZqIh51y9DOlCDPatOsvjtGTaGramjG6Rp1J4uhfqEIjLKbGsdjjgPomfJk
PIDjNMZXYd+BjbKGEYtCUQJvMUJnNq6ysjYPwgfsmzU2oBR3Wkr0uCTnq7Fpu5NM7KLaZ17QMl+y
6FjnSiAPXjOIQzWaNTCciPJSy004h049jRZJV1bVxq6WhocUWL61phGLj85T+hoyDyzSnpBGvhGR
pS6a0NehwyPN6YYq1z1MlPQQuCVuBDwl4p7iIOcwWF75LVBz8XW5Zbf8DXaRbzrHNh7MrukuNKI2
L9lIXiCz7IKjKhv+mr6NeV3hjuZPepMjhiHUUZtTdVJhDHsDk6OK1ipX6Xuh8iY5YMuIb4Uq+Cdk
GSUbvA9peteFxc+mRb7kdaFTldKOi9HIheOfAxdsZtc9xkwo+xX3SpMWoyi8H0U6b51gFg4M1c7L
KJXqOZDAZaPwXcIc3niz4yzwfa866LY2171bSoOraUIoLReycA9Nq/loOMabRTgdcTejPrIjvUvi
tN66lOBbllEAnLzSWng1uOAjxrFuO+7moQULkWmP+WyT+j13tszbUgaRwBJi7gB3bP5RBBaR/HEs
2uUYWVRbv0uaYI1FWV6FGeeyMc7UOW4+O1jiKLyrGbo+QbXgTkHANwcEzy6+NgOruXU6fJiE4KMD
IafyQLZfX5XdlNQ7zEEjBjXwBvsi9dSVUfcRimIgoQx7c37GQVaLK7tpSJH43bjMIf2BjOk/l6r+
v2wN+l2P+reh8+uEQuZ/xYflK39XsvwvIXZGjlCoTwvSFano99T5kq8ziVXjoAzhp/+pYxHJC7DF
hKHD4QbDPQLqH3q/9SUkU4fe72M3JrL+j/R+31qk2L9qxTg3IbAHAXN7jKHeEif8a7rOLEwMWcZE
wYXlgEqlM02VKwaUzMaozuxomXUj74U9ycw3uvEkBAadUbhBe0lsMUwTyOBRVfcPgzmE9sp3W3fX
5kZxDsZuWTGT9l5xOuVVU8S9uTFxnplyeUg6VR75gYoN8ZThMIQIJ3QtBsN48pTZHCkxLOWty7WI
FhXPxo6S56mPDOb7WmzTROX3hHzciUvgNLFi+bONFaU2y3Cv/ATPqELDQaGC+0z3XJoGBzMsXfq3
+yi97zu3PtSguLKNNZavsNzHcN1FFsIIXph1FuANYBO1u0dfezjkhAFefnFSRvvBrXx6zCn6UKuB
tN+OEU+PLmfXvtrJeXDURo+RvJEtpkiMllgVN7FfzeY1dKClL3IYEa1ZASL/kBKbMQ/ODINsGzWO
hOvhDd64lklpfEXMCjG155M8qYiFtoZodyIK6ZirRilfHkfBvX0T5BMxksL2MTJlTUMboeqj4DUe
VPeWi2xwQOq26kPAm/6J/kZADVwTDSHYfM7jQCZk1bqhrledxrzKiHfMDpYhhosxG/0d8efiu10k
RgqBMYnzLUEq41XXzkRtGY4jtXdwFF6I5UH5Ew6NoatZw5BcA9LMH5Wd9zBuMBI21Kx6lWKzDqyf
XmWGC77Wyt+IkNjRrjMILFFpPGOOxZEOtq4CRovFPcN03kX4Ni38sTurQtoSjV6u/EZ1SXoSmXar
6ERMA/OmJjdurGgwKYZN7rrBNnOL6t3U7YgnJrU7MmATlUqVn10b5Oa39C9WXNsrrrkywIY4T+W0
b51a7ZRrTTs66EfsHdF0NuMSKALU1+exUvLFCVOIxfZM6iAwl/KsqJ0fLDWOF/IdGmwwx9LMCofb
1II0kmcunsaqzs6dhV+m43uBYB7pUbS4IRElDNiKS3MRZMR2mBuBmVTSQoWXftHsomsaYdVBFEm4
K22vZItPiufGQlFQgf3EeB+VyqNIVIfVqu6P0Gt48qEkT1x0uYeFPX5eymKr9dCZAbZCqY+QBswN
DdtQTuOSHFPXjdd2Wy738blf16bHHuLRiUrBksPvPxO0gFhE2O5s0XN1KyEu8qzb+0qkfrVJAAb9
DAanveuiSlAO71oPczzMz4s16ED94QTYMK196AtjVT7nnE9fsDpVz5lqu5/sm+mzb7lXFGTSXJbx
vVMTktla0+B6mQCev9Wi0Hdl4VjvhFBcta6FHz4ICf2wTPCgrtMCrBb1pxOVi2Nqp4x9JnCktife
hzltp1VlaOdJiDq+xTaebThrFswLU/+W1IX3NQUjtU0KN8LtCTHh3g58VK9KWlekYvMfvo7CaaVq
U9CNa7jTbeqX3FRpZq1+Cllbz8uD8GjP/vwz8Yeh2gSDmT/NeP3upmJcru5GT7iyLZq171oD/062
8U2OLeTNxjhg7DtnLN1NmOfRjW373fXEGnEfgQr+KJIMa4LXj9NLFpZ5u9IszQcb+jwpDTuyf9KE
yUmdyC0hS50J7xGoBdppRzR2TfVXDI8oLt89nGUfAoAacIKA7jVTer0ASVs2+COD8eSKuEVFmOW8
G7FBbDCmwIUjH4Q+CAqMowYnISA8u//L3nk0x42m2fqvVMzirgYdsB+AmDsdMek9k57UBpF08N7j
198HpNglqlXq6mLFRC2uFh1dooiEy8+87znPgT3F8pF0uWIDQTQnoywqhELqbT2sIuqZOfxPrx4J
SVE7enEocgv0C1OrUssLV41Qm6Sdl04avy4vSSf150JoObBwTF2aiJwLN9L1eziN4SaRB+eL1JaX
OLU6BMM1RAFia4NzPFBhTPZ86E+op6tUNjQwC5CSCLyCIKGuFQrgOxFa1T7KEblPQFx6Z6HR2Qfc
7FC/gkGquRGRPpy3onTblYqq/JJFeXTlNa7xRQ0gLTSNa27Be8vnIBzbjQ+8CM0dLGQ/rGP2dwQl
z8Ows8/ipO9XTYoXj8KsRP+nJs94EsmtL1GcqAQCUD/3jSmNiByjUK9eC69Mz908ABBUNWJDsSA+
dWVunyhT1ChzZc651bTiSakqgh1SX71qFN+aD3piztH6WRh4i+zRddz2RHoF0DtXM7DihlKYU7Zr
2mIlevLjJ3416luV5IWc0iKEjmpauMordmuQw/qZapTGGqxyugvaUMMuPN7RXiPQ22wNIrbQ2609
SFPn5OFJ9BpkK84WhMAy31qZDXGa+vmYemfEysRrmxaGeIQy3YtVh4jaHh12Q5bBmRLWoNtSSw+R
w8cmTGdfD6jV+v15gaOZmb0oi/MkNWOb4Fy7pP4RIM4OAXPu2ELicxKNCA8Yvl2MiHG68YySpD5d
C9Qnk1JJOQFU0cpTR9P8LU7N1l6oaiNfCzPyb5izUeqS/Ij2z7TTBq6ZZGyjyEJkiWX12vboLkON
o3xlIcpP0NbW0jbynUFe+02ZXBEsraEEr8pgO+SSrG+9pNdu00wW3Ywyy9ovhcgmRpmkm2ZkQ1Wp
qV50iK82uu2FC6eUCTO2XLx06dAeh6TkhtgMuhPJrKpbw87TF89qhlu5LcQyolmzLgeL3cFgJRe2
k+s7syChGUJ6KUbTgkduU4vtmZK+TrQrnRUIpKQYHyInD29TWxE4L7lnSwfKH8WX0o52dl9b9/ZA
W6vzxZ2MumLZi7CbqZLO6+zqOPCLTL+S0DiuPSo9mAtQLwABp6hyHYiqTuYZXq4lVNzoPnHl9kZl
6MwmgVpkBIUrhEhXg4yhZFA7zDWRtxF+Wq/7XrJGgKBYOo608FHP5xM4JCQJ+m3zpVdREBPWoosp
1bHw3upHwTQbU2tVOLJ10KgPqtip5ebZMUoinLtgWrAwmsuZT/qcVo5mKGuFvyLEahgaW6WyriBB
FMvWbmguNdltAdVl2egFuBqzsRixgsaQl51UIsRPIze69HlNbvNOxhsLZ3xFu6+J54qm+MSF2E23
oQlgk4Bb4zyaU8vR7+yy6h8y01J9iD4+pbg2shnVg5j4ETo3GTF8rsdCR3YjCKM85oFY6NooGbaz
6N7PRctNtCnc9CrT59IZa7eDV4fH4LWga4+13bSXpKOg3IuX0kQxRwXYfy0G46rQ1rXe4pR+LRZn
Y904GyvIgGW0VTBWlQN8mAtX9tg4+4121eprZ0S/DATGZCha92UsYwWXW33exgW4Ilumy5d48TpW
ZAq4VDmOpVVlM0koB5P0wQMAKWeSF3J77oxF8HAshwPApzJeKcyxk/a1Ym7mrTlrxjJ6PRbUFZC/
OzeP4e5K5Vh2j2lD7ouBxeKkYDtzY7yW6IfXcr3aJxIueBaIFMwLYc20sbafM9Yxg/XGRWZCS56N
wnVtoeRJ1EwcybJJThs7BUiL7UNLg+rovjYSaJ30GoNYR+Le2GkohSKuLVhNOxGZNCL0pBE3pUiN
cwY7zKhxLnv3fIHlhda3CUvo13bG2NgwxxZHFho0njhPdQbfz9qoXPiLLRrMV17rmoCMWG+ukzam
dRK9tlFIaigJWx67K9proyWOMi1h1OwVaVaX0N4nLl0Dtu8gg2ksuy4Cpbo0/Tm8ekOlHqJLJ0nS
y8uEuDmiE1mzzzIKDGeDGdX3qSn6bJY3fbKvLXOakzcLMyGQWOL0SATPrFJE9yXkvIp2NBywszLx
ZI26Vx4ZM8PT6c2QC+7QH2s6DBBy4kH67TLY2nwjbPojjWrfOiQXORQSHHRNIZU8OI8gXomTj3TU
kRjVZTo6g3JblhBWl5WQra3dQxmdBqrrX6eSFfdIxwtibqB06y9lAcV5mUE17ReOXKHbl02LfDg4
1aV3Vmk6W44oSukPWp4yMOkRVc9c1V/wnWkpicclzjFvYK3B6L+tvGZV1HGy7ZA/3TIsGRciZTrw
A8feJk1fXXbQHuDGRsNtO7imRNvO7/CoQ+CaFp4cQfjPxSD+f4nk9ymlhULlwNB+GjV39Qx+yD0l
p+/EPu+/+bVEovxNU1WksLrgeFiCUNu8lUhQUuM7RbmDN/RV6/NrkUSxUVJiW0UFa4wFDOvXIoli
4E1FIjR6U3CoUSX5d8Q+HPH7IolhaIpgkaSglkYfSW3n2yKJH7Jx0oLWXYCevhBII1dx1bGbpLiw
sKW4fQ5IRJ5IRNStEE/0U7OLyIoHOLISAyUCO0UqMm/EmA4QKa1xXoqW2sjgJGtMb2D8o7ADXOGK
PUBxUsEdmyUYDYCngmjGxQBvC8Q5q/MHSBNyuQ9GXdSkGGd0YSjeTZUl5T5PC/JtawqxDgkEfC9N
EJZr2jC0XTrXsKNVEMj0d+HNsEXQ2ZYYSfsIca2Y90iErLBt7gRts6mRZirxpYrwB0ZTU18xMPu0
8IYsnMaFTggNAZG0jrBjTBOmtYHUzM4uaNpbUjJNbJcGaadD7Mewn8HMkACi1I7lJ8uOGtQ1jT0a
LbKF7pxKdrXO7MC5GkEM6F6AsfSwO4R36JGw0L2VOgIIUF34ZwQ0NzdFYvjhHHe9vO1keipN2x+U
XmlWvlK2j6lMJ5F1KMWMMirLM9DBwPBJb2imfaQYN47cartK06Qr4GfynZQmIagjzWzWfd605w3O
pHmhue6T1VNpmrqiG0+cDjSBXrQ6YbQZqVWsUiJzdnLkQ5HiMScPos6MNXJLuAcNnkhO0rIJiaBC
vgzRy56pse2wtjT7fkYZh9WgJWljHJkg30Jgx5r0SrHWIUXNWEQSilzKmFJUavg4Yi/qzpdIX3Ab
IFb5kOxiyQgQL9DBOrleHmza3mz3vFB1gH/RyiS6dQ3JMhGBI15hz5quTJEKKA1zGNtxU4r9mwzN
wGzopHwLgji6kCSTDDSLgGdYLrDv8DhRIWq1M9QQ8jyyAndF3Vre8kSdtSqVxCwNofwlH4Zh4+mu
c0zZJO37gBe1SFvzoQqTbiFrXbkOU1RJcWJd5XmL1q1IwTTU3pGdEwU1lp3XdLudhVtb+slX6n4L
11qfAqNIF4JuFQWt8pZGzX1Mn2eimB0rp7yBMNUQ7JegKNLnONr9y7hrV0UXHDPWU7UH/y9buOZA
5S1hBqm7Ma+hJvABNAekJ1lViXYiAMC/4ntg7kslFhc4pUWykqsu2ESe5NyVpsxysgrScJZqimYt
+Ue+P8k6LXYnfhH1lyrdz1XIO3WQuX0oZWggMG3ZPsB9DRVWnAr9Bg6mfjBiS1spdIFNWpmpQ5Gr
9V/khhTIoqWPRLiGUz4AT8Q0XNeWfWUmSjYNKlZ9E1egDMKJK/ojBjTvnIxtMRvJ+EA8BnIHMiga
6qyvXP+isywQFW1PtrXGEuU+84Ps4Pt6u+nlxDhATvQLtpXNwJHwxRK6qFxg/zBX1pATUu1kRnNl
2Z16XcdmuxJt1z/YkR9f9RWpGStkc/oD77f/Ajdd04CeKaRFJL3qnRQMlRFmSIssbMczzbNARw3X
y7Fq4GKMtXwRpkG+bN28gnBoON4yq8PkDFekdtXEAHGcwlAvw7jUdgjPVU6S4NsjIWIK6YuCSBGZ
Fby+rPGhnw1toJw3hStgaPnVrvKy+DHgFeapOpp6U6ZltcO8r80dZchXFmEWW3BL1iFJYqhdQB7Z
mpuaI2+FkykrO4e7YihNsKNMFyIYNqj6TQpJUa4kQ4A/N0VEmjzQ5oMZVvG5Vbjyha521IEybDXe
JgOEc+1GsaxN66wvHls2eTSc5HJqyjDHp4WRjyr2TZD30FSsIM2rCS3rYu5IaQjjpyUCCW+ut9HI
k6H8nRxwWxKzoyAho6fcIVS2K2XVWUp8LgLY7QZf3HlJzsay4H8mSjskl2WjofQofRz4vn3WBITJ
hF1My1iz/T2NVgKlVRKo86Jqtq6I1ZWJ2PEhHKhHNg1EgCBxqiXVL3NbOj3PEAHgzrFzQMUwzKeM
RcmWEkcwTFOjbudmHD8oZZTOoXVSetUTcQsGfyGs+jYQ7Cz56ntrhX6Zl6ukkBDk+aSnaLzKzJyL
UuqnHmlJ0yaVWDGDhvQlPV8atUEeuuKfsSM1Z7QapHMFDMKqR766diVnM0L9kXCLTiYBSurv0KdR
pXDINT1XHRorM9eVyMchU3JIoivyebpFbDQQ0LzsLpIpCUUZwgBR+A+B1LTRRgV/TTXJrsNZ60Lr
gnEwdIvK0ZsLpdGDPbbkjJTUrDoUqkp2hvGl7rKVTptvkpRsOMuurKdxj6/SStUddqfBmqSeJZNr
XrDrn7REbsxSsw62KvRX5FrZaIHqYHctfU/m/9aYm5YYOzdF6JD2Bp8u72eDhxZ6plhVH8OzarNV
U0SnuI/ijYhEfa8RWmJPHa+HBNZXDTkkCp1PEufzi7xipzvkrQXoXWdfYDZdvY0pX8cLzKugaHsq
wkMtac9x5Tb+nCkec7+eVR6LGcmNpllb+6g2spJ5wFfLtGOHiqyYEmIgHhOACWewtdszP/So6CW4
IExS7ya2Xffs3tU9tOAzLouioWsA8NNKOSfPxq5wkoOj6W4cx3uyed3vB0PMWPbsDY8MOnzHY+vY
yS98wY46rYxYgzDKcj8Bb4PPBG8J5NPhXnJJFXcpmW/oRbA5YBFP+Fxb4Sq1CywcVmg8lHRWvrh8
8MRVoIBbNumDcSyZNGWy4jo16au6IpqDLiC/tIjrYxY47s3YH1jGCD1eNNmM7tpGzxaUzw0AehHC
mFVUQW9qE4JFJw3wBHL0kkaeoFBJjswB7bKOwuZgGdawUVmQ3fgDnYWulLpNrlrEZOQ5zIHYqJiQ
TGM3kBRKfIHq49Onhjkx7Gp4VGHlrtgOlTPNGJwFJOQGeL9iLAlQWA5VeE2phi2L4c9Mo82nGUBK
tTRmpsz2zSJzADFeDAarLSDHYT8xUl7FsBNzVYYVwkA8i6sWOIiQZkLtzyUt1zZpSl0gzHoMbWRg
nbBvZ9NSZ0lhlDEsICuRF1nlow8ZVDzlBVI+MUjKznXydhFnpbNHrk7phtDIRUYuFRv/Am6+ph7c
pt6qav+iKCUlTEJc5W5KZ8x4qiNSLAYDxC6CmOZgo6leJHhRttXgektpSCcjMJamRaE0V5VTVNe9
Dqmp87tmgS/uILuIPmFRlTPZE8EM0loyKVuXNHcH9SD5DvaCWmPnTTWtu+eXmp0fm8MDhK1u7iCl
W+hgNnZyFmq33O+RNCLqJJxiSjHx3of63CDXZpX4ugfX0DTPs4a53KkzGTudE56phgnD0hmcc1lR
LOonSbgj6iFEZUiF4Mg3lPyLjGCxHfuQ+DxxVeN5kEFR65WTYKVUlYNRqwJUcWQ8255j7wV4xInf
ev6lBg4Aj7/QW+z7iQ82Lq72DJvROh/Cdlbm5qNbN/bKTIJo5upBfajwbN3rWCznCT1D+rRM9KyL
tIAkSMiarPx9zV+nsVti8TGyntGj8ifuQE4EiKd6ZRemWEuG2V8AFADvFRb1JvVNB3yqTZZwBymh
1UD9dyBpUmE6RyyH4X0rW/lKMzN/1ofaUitYg/dukEMRE8o8LuBd956SHgozYKbLHJdcYY00MLhB
s9oWxFzGoXGLGh7tnm/B8K4Z8Fg/pnde4htf6G2EGxLLeIGLUt9ZSgWFe3DBGE9K3/XOaR2grK1F
jTJ96B4dGj3Qq5j3HEvlk/tyjFNiHu+glGxTM78WVePeWpLDKjMW8qxmQUR203pwwyV2+2ytxLBh
G2wVzKjIIjWWvDPZqMtJKEszGZELHUEHtmvWPvp+W1+FdhZvgqLtea2bZo3dVyHyo47mahnKsy4O
nVXrWVNbHlseeRSszeiJ2C9MB1aGmjPlUCxh5YncRsVjL3n9NmoE1I2RPLJQW5JYnbiV5zim0kUy
tNw+vdXPJMPql4MXFse2pjoFnjJ7QI+bH+pQgaSoIiIEEGRO2PqwnMhtMtPMvtrHtBCmnev3l47j
l6wXguhEO3LgUrJoHgMsfGQzpiJXL5QZEG590thVfo2aq71A20JpN0805T4xU+lLbNr1AlxQtjI6
xPET344yG8NDzKanspRjgY1t6jR0UK0Q52pj2+HCwjhHG7tNxcBOrvGnWcnzMmC83PVJ1/JmtWKZ
Skk7SZx6r1FMFAhCzRTJtahRzza+9WKz4Id0tusSm+PDmeuahEI1VDSWp/ImFLDNkFo/48lftS6s
91EoLZTGP/pMiVAUkn5VWqa76PUiX5M2U61DrvIeQV9zAmpSzG0okTfIvO1dSkDdo8SaaaQmJPW0
KQx7yePR5yTimXttiLIdXp343rScmrWRYaxTmSVtrUnoskDZSXNwmj5BjoOBwzhRpG6XJwlDPLAJ
e0kiLZSMlvxPlvqptXCKwHrEBgIdwylppvSRY36xhSQIVJOt8CZjiTTP7N4+ED8b3eWE/Cx7UAIr
WMvdSVCuZe4IE+UY1WMpDqTGuStJcEuMoTuXyrItJ0YbNlP85+rcIRtrPVCpuLBjIKVu7/hLtGfZ
Xcb8xhBfamuz1+O5CNtiT5tOrml2ZGJeI11AYZan55VBE2tMIiqegdU2V1IiWnMCV6sE9p2KeVv3
GliqXrXuo1LLl0gzXvwwsTeg+x1kXtDwjviVZbLZNP+GgYM6nFzW3iyTjHrfmYO6KRwVSWHfx3cQ
h1m5Uus8JnzdJ14VpQenaIxDhMaJJsqYWJh6VFxBMqnlMTSr7IzFNcYOgr76VRGoDDU5k+iFC18B
QrRnRGB/YmsZKkNxGWSsYdGr00CMMcfPbHYxO9VVCBmMkvJakHUAvcg0p30Zujd6YPlLGvCaBZam
CdZtIlRaPWQCxyzPNmj827tm0EB+sQo9r9WW2WQItJsYf9DGbpTgwTVr5iKnHQ7GYADVCzPZ3ZFu
ouyTsgE/puDLNILIWMtZgyNlyAcVjXAgjFOjSx7a8lCTT7FQwpziwdDd0kMzqbUEdknhAc4E+EE7
reHRlMpcSy12u7kjDQv08+hISTa99zqHaAMzJyYu09kYWOA6e0tNz5AcWbTIQpNCOZJ4pW6MGQq/
+GDkPUusYGRDTaBaN3cElkLUlgPvzMG3tiwIEzThn4bifiAxj0UDrZ+KgIWtFBqsOv3ATCdSredz
M3eCY4BXlkdrnbKWCsjI5B8oWi3knj0416FM1Rw9IzVm4ViMrgTWheXohtDOFPC3K6WylVkhRfG1
Fsn4MOkKNnOSCMUD/hCPXNCA5ZIdCoGgVsoBgmlKRkS8TyePq2Z5K4nu0neCaO/rJGDB3yDGotPx
l/7vSuT+glZOUx8dvOjtVX20lBsY1r9xAM9O1elrIPrhFD//93/MTk/F6dX8PvLmi19Wp+Y58n/5
n+Tpl9lv+eJ/+BFfLfIaQHpTBV2pgwI0OY1/VINHi7yC093UTIRzr1K6d+snFnnC1On84HZTdaIz
f5XMyQS060DQFS5nPKT171SDFe37avBoSUXsQDcQuTZT13fWT15tKnLIUMlWvq77dG9fKQt3QSYW
FCPAn9Zo/l7I5YV2ndBPraGIXpe5v/DjW6erZj5fHKvRMXPFX2wHs54HspMIbGlBUOOyYaPhlPHa
sx76Dmlq5iLG9m/r9gtKhbnUEw4qD5djkalVe4BdxUKTNpn1UuBHXJEC3rAUfwIFhjlp1yM0S9p9
WtRTR7xQWZmGcK5wxAELwnkJcN4G09PEyazH7Rh5/TIWkA1FV0872vSGtJRFUCwCpXLphEaHzvuS
2Oxzk/ZBtpPrspLP43wgdMw1LZo1fTYvkcbpyWMVnQmrgYGFyp7MDORSLtYZesDgpFpTPeJvunQj
bHdawWigrsZmNOy5CL37TuvI1Siz7Kys0S3kLjVtGAIikI/kPwPpCgLCEdNnA9kU5Wf9XmZY4THN
mxSsDpCSwGkXehky9/fToupmgShmlIX2ml8dK6GBytYeQ1Mcu5RzpX1oUM9RSd7o6V4NbJlBiBGD
g0BPR9kgyATBZ+Fi+vOPbpwxQbITmeiWf8hL5Izd/puvzQ+d+yMW+1s55ptzXpZNBUCECe7hY6ch
bOQSiycRZd0QX1MPgryll8euMVYeDXBDJUElMsWGUssyys4IT1sair7F81jPwAeBRSvHUpxjr4Uf
kf0h03xvF0WA+6V2tKPWpGDwjUtNN0j5C8pZjm4iT7ZyrS+LLNkifFPo3GMCJCh9ODeoTCGcBjbH
eoRHiNXuRS+MCyO8Z3m9oL09JYVh4QYh+TbetICVkLdjXk25owY+A7Y5cwtphfjxWBjFotH0Yy/b
O8Fs1CHotzvyoL3qKoAHxSu5HFg3KF8E6ERgvRs6dQc5RcIppS7TkQmi3uatRDm9yBqIAsnezAm/
hRFJkfUhrvpVFMkrtx0xzxJIgLAedkNXzS3LOfWZsUgTstk4IGQ2H92I0m8YLm5V1YWteaUWxb5A
LV8q7VXSfRkCo9tmak8TA4n4fe5opGp6uDICbe5lCrkrvCKt0Bfoi1Y5ch12fJiy4v7MhRwO5CxF
00W6zDZvc2RQw5efvybqd5EYr6MzjkoNgaEqk3KHzf3bftSQslYkl9qZizR8dqX61uH2OYXyJS+8
6dAUhDMWF2xfD0PdnLllsQ7abiwITxQKL+AzTdIC7GBGZQ5opn3mqTFjV3VRWjYNmwpNgte8ZEby
L95uqm/fvd0AT0x5ZMbSsqOf9z14qGR7lLE2cua5WZiISAASY1IbkPV1NUs89sh41TwS1RgXM1es
JNKZURnVJxUxVJYscy/qmewHA6x0i0MBmv9WcdV5SgIxJTd1ogp2635zycC61KLu6Af1ZSYp14NG
ZaVQnzDzXsZ6iW7MqlhMFtWEWFE+WFTpnCo6Q2Ojvsg1Uhu3qiTi4chwDwb8pFHWXnhNc0SnuM0E
a1tfJHsPLTHNCvsLKDtlQtzglVCiswZ1GWmK2QtGDG9uaNlVW0kvtqdFU8sXL0Q5XpYiuINchzm8
JA1UeckiJDYUDeyEM3DzNRvhyYCFu/KMG1THSw0z+MQsHlpIgz04tjRu5+SaoMchDcKb+uyvkwzb
ku+tdJR7lJ32hPUey4rZI5PRhlhwFhVcZl5NrZYaC4JGxnH9bgjza9fvzmoinmdNTYK5VK00yte5
K6+MPLk0vHYlo2WBEPvoyNllBIeuVnFakiFbBAYJSdbRTeQ1dOtjq1szNbIuY0VFtxuLGdGIc1ux
WZIZC9eTFzz6naxA5mhaZhn/ltjpVWPW88rEC4fSNt1VzjAnB2KBwXQamVS5y7tguBxRLtTKZ169
tbNwTdX6tuAWLnsTSCThWIucIGErHOYeimxoAiRoeOyCK3GEwjjDTnafx6S1YDdLViqg8umg6fkk
EGZ1G8TmeUrTaSKBSkkQzSIlbY6+ERBQpjfIy14oWaCksW/1EoSclD7BHVkAckhGrMgu4WsIlzQ9
Vnm4wqy3CNLski3uRegGW13t2xkhsZOc+hcxzgq/X81YtC8gYs0ct0yYme4CtV1pXbeKaw94SeIj
aqxY8nrJnVsau67QbiIwsBND3BlDftXFdTXnrV7njvkyqNrWqT32YSUbpkhxtz0OMTRR9BqJF4vm
hj7siNqc4Es9i3OWF2Yhn3SwlXMADBep1p/CnL5mWFd3cgS4nD1JOvXt/ljo1XUzWJvGJOpek/25
FK5D1bgRppIg/+lwbwdXmMbuarXeyl33EHcI+6UkmimRtpJaBHKyfIxJDQgN54Y6JBQtKMS6fSFq
ae+G92x30AXWUxvjZdn45xpW6p63XUdYO/gYyLljXWej6Bjrdv4yrQgNVvILR3poQkoEg/ylc4Hq
qN1Cqe3HgPo/dT9sCYZx4djPscmUYc916VBYh4wanHaW1BdUlI8FnMpaQ8WiXTQ9tIjAuo67Esk2
aq+hmpKGR7kXgVzwHPoEPLQIycs7075qDWxPHcEEcL98b6ao97V7aboEWFvFxNLPR0yBW7YXtId5
XSSa9HiZgHh5w07GTMBGG/RFv/IJ2yrMhcG2O3zlIwjmhzOlfaTOTHlDu6sAcYie73Wo3ln2kfYm
3qZzeTTiMVbe5o4aTmsi0lz/oS1LYu5fuiCdxpn90GlatLCb8kHKxMov3BUyp6emRftS2x5yntQm
fScE42a3MxR4k8pOrXVAL3xC0HQ5s9z4xu9J3+jUXn+SClWhU23RAjWtRQv4HY7Elefm5mwIlCs7
lO7Tvr9Nw+FqoPs6OJU5pUzuT7VE09duFUZA4ayENlpSz5o2eUzrYWkN5qqCPoRZGKGcxXIK+9cl
bSDSOeRs3iJRikmCrtCK1TTFRevQ06VzOAjzIW6ajd16z1ZfX0HFyKZ5oCJpIE8gRcc7QUgbzh1z
jHWFKhE01VWkDSztqG4M+g4w/UsoR9NAWbqV2NDLnilpsQ/bjNFX33u5QT5htYTIoM50NMULfKSE
RLW04lqyIECEFBJ1crtC0C/1k//0BkeNAIDa88ywjyENgAkrMMR68R12LFqdKZ0gt3QuNE/ZcG/8
OTLykfgJcSg1AfmaSY1pEQwotQxx+WftRz+x0xx/1X1Ox63fPKl8SNv1c9FfPJd1VJXvIJ3xp69Q
qqv0j/2jnx/o657zjdbGC5NU4xm4fpp8EBeNUTMfQG2vp/R6vj87QnTisuontrOq+jfNGOXg4+Jq
/MP+k6QR9+uPTXskrkEf0oy3H78Bj765Q791D35+eW838+f/5sMFnJ5i0LdkIRb+Y/XtLdCEorBp
/T034btjfHMTwPsb7P5lk8v75uot3GzgZTCmIa8a/7x90F/o6umBqEjBPnX1aMsQlcmjiOztGVP/
+OYmmALOFH1EahRvf/5yN4HkaN7aT90DlewHihtg10iNGP98vAcWPyaplrLK2wf9hd4ASjajGPBz
V2+TYmgpxDB8/+Q1XYZypltvN+Xtc/5KFy/UEXv2qYtXyApRZF3VKXO9/vn46MfXn1eDF+PrIPA2
4v6FbgIDlPw7p4HfHAE1io0Q3gxb/TgCmsbfIOdaEObQno5//nJXr1HspHD0qVdAFX+zqfwyk7y9
Ad9/++W/oaplmrT+/Vfgd7wn/1hSwLmJnl4XE/5z+aM1x2/9g/d59J9//nUOXT+N5MxfKYCv/3Bc
W7x99vPrKmf8779/eEP+73j23/zw9b9ZGX37618v8J8/+ocn9f6XK/+5OBWPHhmm4wLr62m+Vdgp
pXuU2I/F6em59L6d6xWyd97/+21l9OF0v3kLfnr8sjzF74cZ74yqjEWlX6/zv//jjxyWHtupeD/M
eNi3aemzh12div57SfnbkP/pI/vx6ZEg+R/eaUimI+H7Hy/GH7snmxMwxV/+zynO/uuX7akEFvPh
DjGojgPKZz9leyoSVuPh6f1Qr6/729Tw6WPznkbfHVgfY3s/e+DdKSy901P7/Jy9H+z1tE1Cqd7/
4o+/4/vTk9f/+Ds0hl59/gPOnnxO//04r98iypx/wsM81k/1o/dcFP2HgwtY8O9/8cdvy7FOgtPD
+3Fez/pt8vzs07w4BaeyAo/x4dj09f6EO3Lph6H/YcCiFm78Cc/w6hT70S+H01P97VlrqhCsAz97
R66riu7oDwbxrxP2Z49/+1xWv0ye8dtE7yc7Ps+v28HPHn1/YjBnwKqKD+/41+3WZ4++rAOO/mEb
a7KGUzV2F58+dvrhjMfjgs35/HGZlf/R3j74j+kDT3ddjnnr5fvBx/vPSlkh8+H9r/74V/V/8CL/
9vQkK7Ly2jD87O3a+0NafFwOcGjZJBvw89dwheEawu/7gcb78/Xgf8K398dChH/6LMQD73/3xx/G
KHUYH/X7kb5eCcqFkaHz6Wfw00DHTy5B9s8ua5xT//1TGM/9T1hM/iwe5ZNn/ptyEt4hzv41ZuGT
HzEdgU7+P/HJ347/J7w3v4eA/slLeJ1nTr9JpvoT1lL/knz1ySv4l7bRTx5/d3ri/rx/TV8HaR3W
kkpFS6W4i4II2sr7j//4GPHj8eiPCKN+er0/2m/+/cPGdD7+/scd9L/8B+yDxwM/Rs+n4u//DwAA
//8=</cx:binary>
              </cx:geoCache>
            </cx:geography>
          </cx:layoutPr>
        </cx:series>
      </cx:plotAreaRegion>
    </cx:plotArea>
    <cx:legend pos="r" align="min" overlay="0">
      <cx:txPr>
        <a:bodyPr vertOverflow="overflow" horzOverflow="overflow" wrap="square" lIns="0" tIns="0" rIns="0" bIns="0"/>
        <a:lstStyle/>
        <a:p>
          <a:pPr algn="ctr" rtl="0">
            <a:defRPr sz="9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IN">
            <a:solidFill>
              <a:sysClr val="windowText" lastClr="000000"/>
            </a:solidFill>
          </a:endParaRPr>
        </a:p>
      </cx:txPr>
    </cx:legend>
  </cx:chart>
  <cx:spPr>
    <a:solidFill>
      <a:sysClr val="window" lastClr="FFFFFF"/>
    </a:solidFill>
    <a:ln w="12700" cap="flat" cmpd="sng" algn="ctr">
      <a:solidFill>
        <a:schemeClr val="tx1"/>
      </a:solidFill>
      <a:prstDash val="solid"/>
      <a:miter lim="800000"/>
    </a:ln>
    <a:effectLst>
      <a:glow rad="228600">
        <a:schemeClr val="accent3">
          <a:satMod val="175000"/>
          <a:alpha val="40000"/>
        </a:scheme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Avergae Yields by Soil Type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Times New Roman" panose="02020603050405020304" pitchFamily="18" charset="0"/>
              <a:cs typeface="Times New Roman" panose="02020603050405020304" pitchFamily="18" charset="0"/>
            </a:rPr>
            <a:t>Avergae Yields by Soil Type</a:t>
          </a:r>
        </a:p>
      </cx:txPr>
    </cx:title>
    <cx:plotArea>
      <cx:plotAreaRegion>
        <cx:plotSurface>
          <cx:spPr>
            <a:effectLst>
              <a:glow rad="228600">
                <a:schemeClr val="accent3">
                  <a:satMod val="175000"/>
                  <a:alpha val="40000"/>
                </a:schemeClr>
              </a:glow>
            </a:effectLst>
          </cx:spPr>
        </cx:plotSurface>
        <cx:series layoutId="funnel" uniqueId="{19447B55-32CF-46CA-A0AF-7E5EC7D54928}">
          <cx:tx>
            <cx:txData>
              <cx:f>_xlchart.v2.5</cx:f>
              <cx:v>Average of Yield (Kg/Ha)</cx:v>
            </cx:txData>
          </cx:tx>
          <cx:data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IN">
                  <a:solidFill>
                    <a:schemeClr val="tx1"/>
                  </a:solidFill>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IN">
              <a:solidFill>
                <a:schemeClr val="tx1"/>
              </a:solidFill>
            </a:endParaRPr>
          </a:p>
        </cx:txPr>
      </cx:axis>
    </cx:plotArea>
  </cx:chart>
  <cx:spPr>
    <a:solidFill>
      <a:schemeClr val="lt1"/>
    </a:solidFill>
    <a:ln w="12700" cap="flat" cmpd="sng" algn="ctr">
      <a:solidFill>
        <a:schemeClr val="dk1"/>
      </a:solidFill>
      <a:prstDash val="solid"/>
      <a:miter lim="800000"/>
    </a:ln>
    <a:effectLst>
      <a:glow rad="228600">
        <a:schemeClr val="accent3">
          <a:satMod val="175000"/>
          <a:alpha val="40000"/>
        </a:schemeClr>
      </a:glow>
    </a:effectLst>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microsoft.com/office/2007/relationships/hdphoto" Target="../media/hdphoto2.wdp"/><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3</xdr:col>
      <xdr:colOff>281810</xdr:colOff>
      <xdr:row>0</xdr:row>
      <xdr:rowOff>84728</xdr:rowOff>
    </xdr:from>
    <xdr:to>
      <xdr:col>24</xdr:col>
      <xdr:colOff>14114</xdr:colOff>
      <xdr:row>37</xdr:row>
      <xdr:rowOff>78659</xdr:rowOff>
    </xdr:to>
    <xdr:sp macro="" textlink="">
      <xdr:nvSpPr>
        <xdr:cNvPr id="3" name="Rectangle 2">
          <a:extLst>
            <a:ext uri="{FF2B5EF4-FFF2-40B4-BE49-F238E27FC236}">
              <a16:creationId xmlns:a16="http://schemas.microsoft.com/office/drawing/2014/main" id="{4985E0D0-85D9-C2D8-ACC3-26B5D93F23E6}"/>
            </a:ext>
          </a:extLst>
        </xdr:cNvPr>
        <xdr:cNvSpPr/>
      </xdr:nvSpPr>
      <xdr:spPr>
        <a:xfrm>
          <a:off x="2107435" y="84728"/>
          <a:ext cx="12511679" cy="5867681"/>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7937</xdr:colOff>
      <xdr:row>0</xdr:row>
      <xdr:rowOff>77608</xdr:rowOff>
    </xdr:from>
    <xdr:to>
      <xdr:col>3</xdr:col>
      <xdr:colOff>261469</xdr:colOff>
      <xdr:row>37</xdr:row>
      <xdr:rowOff>69671</xdr:rowOff>
    </xdr:to>
    <xdr:sp macro="" textlink="">
      <xdr:nvSpPr>
        <xdr:cNvPr id="2" name="Rectangle 1">
          <a:extLst>
            <a:ext uri="{FF2B5EF4-FFF2-40B4-BE49-F238E27FC236}">
              <a16:creationId xmlns:a16="http://schemas.microsoft.com/office/drawing/2014/main" id="{00E422AA-C80F-11AE-BCC3-0D7D549BCC66}"/>
            </a:ext>
          </a:extLst>
        </xdr:cNvPr>
        <xdr:cNvSpPr/>
      </xdr:nvSpPr>
      <xdr:spPr>
        <a:xfrm>
          <a:off x="7937" y="77608"/>
          <a:ext cx="2079157" cy="5865813"/>
        </a:xfrm>
        <a:prstGeom prst="rect">
          <a:avLst/>
        </a:prstGeom>
        <a:solidFill>
          <a:schemeClr val="accent2"/>
        </a:solidFill>
        <a:effectLst>
          <a:glow rad="139700">
            <a:schemeClr val="tx1">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3</xdr:col>
      <xdr:colOff>333376</xdr:colOff>
      <xdr:row>3</xdr:row>
      <xdr:rowOff>131860</xdr:rowOff>
    </xdr:from>
    <xdr:to>
      <xdr:col>8</xdr:col>
      <xdr:colOff>178873</xdr:colOff>
      <xdr:row>15</xdr:row>
      <xdr:rowOff>70060</xdr:rowOff>
    </xdr:to>
    <xdr:graphicFrame macro="">
      <xdr:nvGraphicFramePr>
        <xdr:cNvPr id="4" name="Chart 3">
          <a:extLst>
            <a:ext uri="{FF2B5EF4-FFF2-40B4-BE49-F238E27FC236}">
              <a16:creationId xmlns:a16="http://schemas.microsoft.com/office/drawing/2014/main" id="{EBB3402F-2B08-4322-B98C-E53D23A5E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336308</xdr:colOff>
      <xdr:row>15</xdr:row>
      <xdr:rowOff>125227</xdr:rowOff>
    </xdr:from>
    <xdr:to>
      <xdr:col>14</xdr:col>
      <xdr:colOff>453246</xdr:colOff>
      <xdr:row>22</xdr:row>
      <xdr:rowOff>138809</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DB907257-064E-4C3B-9E5E-7C354844E7EA}"/>
                </a:ext>
              </a:extLst>
            </xdr:cNvPr>
            <xdr:cNvGraphicFramePr>
              <a:graphicFrameLocks noChangeAspect="1"/>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169871" y="2506477"/>
              <a:ext cx="6840000" cy="11248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317502</xdr:colOff>
      <xdr:row>23</xdr:row>
      <xdr:rowOff>74922</xdr:rowOff>
    </xdr:from>
    <xdr:to>
      <xdr:col>10</xdr:col>
      <xdr:colOff>238125</xdr:colOff>
      <xdr:row>36</xdr:row>
      <xdr:rowOff>73972</xdr:rowOff>
    </xdr:to>
    <xdr:graphicFrame macro="">
      <xdr:nvGraphicFramePr>
        <xdr:cNvPr id="6" name="Chart 5">
          <a:extLst>
            <a:ext uri="{FF2B5EF4-FFF2-40B4-BE49-F238E27FC236}">
              <a16:creationId xmlns:a16="http://schemas.microsoft.com/office/drawing/2014/main" id="{FFC905D4-53FC-4FAA-B4D2-ECE7F3291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365119</xdr:colOff>
      <xdr:row>23</xdr:row>
      <xdr:rowOff>65226</xdr:rowOff>
    </xdr:from>
    <xdr:to>
      <xdr:col>17</xdr:col>
      <xdr:colOff>15869</xdr:colOff>
      <xdr:row>36</xdr:row>
      <xdr:rowOff>64276</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CC79F4F-0D82-4027-BAE0-475B8A870D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61119" y="3716476"/>
              <a:ext cx="3917950" cy="2062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150816</xdr:colOff>
      <xdr:row>23</xdr:row>
      <xdr:rowOff>65274</xdr:rowOff>
    </xdr:from>
    <xdr:to>
      <xdr:col>23</xdr:col>
      <xdr:colOff>373065</xdr:colOff>
      <xdr:row>36</xdr:row>
      <xdr:rowOff>65274</xdr:rowOff>
    </xdr:to>
    <xdr:graphicFrame macro="">
      <xdr:nvGraphicFramePr>
        <xdr:cNvPr id="10" name="Chart 9">
          <a:extLst>
            <a:ext uri="{FF2B5EF4-FFF2-40B4-BE49-F238E27FC236}">
              <a16:creationId xmlns:a16="http://schemas.microsoft.com/office/drawing/2014/main" id="{16F08603-10BD-40B8-9289-0B7A65EE7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210722</xdr:colOff>
      <xdr:row>3</xdr:row>
      <xdr:rowOff>126999</xdr:rowOff>
    </xdr:from>
    <xdr:to>
      <xdr:col>14</xdr:col>
      <xdr:colOff>775</xdr:colOff>
      <xdr:row>15</xdr:row>
      <xdr:rowOff>65199</xdr:rowOff>
    </xdr:to>
    <xdr:graphicFrame macro="">
      <xdr:nvGraphicFramePr>
        <xdr:cNvPr id="11" name="Chart 10">
          <a:extLst>
            <a:ext uri="{FF2B5EF4-FFF2-40B4-BE49-F238E27FC236}">
              <a16:creationId xmlns:a16="http://schemas.microsoft.com/office/drawing/2014/main" id="{02BDBDF5-7DFA-457C-BB8F-3B360B7F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37785</xdr:colOff>
      <xdr:row>3</xdr:row>
      <xdr:rowOff>134154</xdr:rowOff>
    </xdr:from>
    <xdr:to>
      <xdr:col>18</xdr:col>
      <xdr:colOff>509787</xdr:colOff>
      <xdr:row>15</xdr:row>
      <xdr:rowOff>71549</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E4251AE-7CC9-4698-BDB1-1FD9A8154C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72185" y="610404"/>
              <a:ext cx="2910402" cy="18423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545564</xdr:colOff>
      <xdr:row>3</xdr:row>
      <xdr:rowOff>120290</xdr:rowOff>
    </xdr:from>
    <xdr:to>
      <xdr:col>23</xdr:col>
      <xdr:colOff>447183</xdr:colOff>
      <xdr:row>15</xdr:row>
      <xdr:rowOff>58490</xdr:rowOff>
    </xdr:to>
    <xdr:graphicFrame macro="">
      <xdr:nvGraphicFramePr>
        <xdr:cNvPr id="13" name="Chart 12">
          <a:extLst>
            <a:ext uri="{FF2B5EF4-FFF2-40B4-BE49-F238E27FC236}">
              <a16:creationId xmlns:a16="http://schemas.microsoft.com/office/drawing/2014/main" id="{D5989A8F-C44E-4EBF-90F3-897E36D2B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515937</xdr:colOff>
      <xdr:row>0</xdr:row>
      <xdr:rowOff>63500</xdr:rowOff>
    </xdr:from>
    <xdr:to>
      <xdr:col>19</xdr:col>
      <xdr:colOff>127000</xdr:colOff>
      <xdr:row>3</xdr:row>
      <xdr:rowOff>95250</xdr:rowOff>
    </xdr:to>
    <xdr:sp macro="" textlink="">
      <xdr:nvSpPr>
        <xdr:cNvPr id="7" name="TextBox 6">
          <a:extLst>
            <a:ext uri="{FF2B5EF4-FFF2-40B4-BE49-F238E27FC236}">
              <a16:creationId xmlns:a16="http://schemas.microsoft.com/office/drawing/2014/main" id="{D6AD0130-4A1D-577E-D3A6-1058C4397636}"/>
            </a:ext>
          </a:extLst>
        </xdr:cNvPr>
        <xdr:cNvSpPr txBox="1"/>
      </xdr:nvSpPr>
      <xdr:spPr>
        <a:xfrm>
          <a:off x="4794250" y="63500"/>
          <a:ext cx="6945313" cy="50800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algn="ctr"/>
          <a:r>
            <a:rPr lang="en-IN" sz="3200" b="1" baseline="0">
              <a:solidFill>
                <a:srgbClr val="00B0F0"/>
              </a:solidFill>
              <a:latin typeface="Times New Roman" panose="02020603050405020304" pitchFamily="18" charset="0"/>
              <a:cs typeface="Times New Roman" panose="02020603050405020304" pitchFamily="18" charset="0"/>
            </a:rPr>
            <a:t>Crop Yield Analysis Dashboard</a:t>
          </a:r>
          <a:endParaRPr lang="en-IN" sz="3200" b="1">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59764</xdr:colOff>
      <xdr:row>3</xdr:row>
      <xdr:rowOff>71627</xdr:rowOff>
    </xdr:from>
    <xdr:to>
      <xdr:col>3</xdr:col>
      <xdr:colOff>246527</xdr:colOff>
      <xdr:row>12</xdr:row>
      <xdr:rowOff>10928</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9DA8EE03-2C68-44ED-93E8-0EE5417B35A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9764" y="547877"/>
              <a:ext cx="2020326" cy="1368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80828</xdr:colOff>
      <xdr:row>23</xdr:row>
      <xdr:rowOff>59760</xdr:rowOff>
    </xdr:from>
    <xdr:to>
      <xdr:col>3</xdr:col>
      <xdr:colOff>230240</xdr:colOff>
      <xdr:row>28</xdr:row>
      <xdr:rowOff>141941</xdr:rowOff>
    </xdr:to>
    <mc:AlternateContent xmlns:mc="http://schemas.openxmlformats.org/markup-compatibility/2006" xmlns:a14="http://schemas.microsoft.com/office/drawing/2010/main">
      <mc:Choice Requires="a14">
        <xdr:graphicFrame macro="">
          <xdr:nvGraphicFramePr>
            <xdr:cNvPr id="15" name="Irrigation Type">
              <a:extLst>
                <a:ext uri="{FF2B5EF4-FFF2-40B4-BE49-F238E27FC236}">
                  <a16:creationId xmlns:a16="http://schemas.microsoft.com/office/drawing/2014/main" id="{30519315-D4FB-4936-ADBD-1A37C13722C3}"/>
                </a:ext>
              </a:extLst>
            </xdr:cNvPr>
            <xdr:cNvGraphicFramePr/>
          </xdr:nvGraphicFramePr>
          <xdr:xfrm>
            <a:off x="0" y="0"/>
            <a:ext cx="0" cy="0"/>
          </xdr:xfrm>
          <a:graphic>
            <a:graphicData uri="http://schemas.microsoft.com/office/drawing/2010/slicer">
              <sle:slicer xmlns:sle="http://schemas.microsoft.com/office/drawing/2010/slicer" name="Irrigation Type"/>
            </a:graphicData>
          </a:graphic>
        </xdr:graphicFrame>
      </mc:Choice>
      <mc:Fallback xmlns="">
        <xdr:sp macro="" textlink="">
          <xdr:nvSpPr>
            <xdr:cNvPr id="0" name=""/>
            <xdr:cNvSpPr>
              <a:spLocks noTextEdit="1"/>
            </xdr:cNvSpPr>
          </xdr:nvSpPr>
          <xdr:spPr>
            <a:xfrm>
              <a:off x="80828" y="3711010"/>
              <a:ext cx="1982975" cy="875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97014</xdr:colOff>
      <xdr:row>12</xdr:row>
      <xdr:rowOff>99590</xdr:rowOff>
    </xdr:from>
    <xdr:to>
      <xdr:col>3</xdr:col>
      <xdr:colOff>254000</xdr:colOff>
      <xdr:row>23</xdr:row>
      <xdr:rowOff>30258</xdr:rowOff>
    </xdr:to>
    <mc:AlternateContent xmlns:mc="http://schemas.openxmlformats.org/markup-compatibility/2006" xmlns:a14="http://schemas.microsoft.com/office/drawing/2010/main">
      <mc:Choice Requires="a14">
        <xdr:graphicFrame macro="">
          <xdr:nvGraphicFramePr>
            <xdr:cNvPr id="16" name="Soil Type">
              <a:extLst>
                <a:ext uri="{FF2B5EF4-FFF2-40B4-BE49-F238E27FC236}">
                  <a16:creationId xmlns:a16="http://schemas.microsoft.com/office/drawing/2014/main" id="{F1B513D9-3A21-4470-B008-02051C0A6B30}"/>
                </a:ext>
              </a:extLst>
            </xdr:cNvPr>
            <xdr:cNvGraphicFramePr/>
          </xdr:nvGraphicFramePr>
          <xdr:xfrm>
            <a:off x="0" y="0"/>
            <a:ext cx="0" cy="0"/>
          </xdr:xfrm>
          <a:graphic>
            <a:graphicData uri="http://schemas.microsoft.com/office/drawing/2010/slicer">
              <sle:slicer xmlns:sle="http://schemas.microsoft.com/office/drawing/2010/slicer" name="Soil Type"/>
            </a:graphicData>
          </a:graphic>
        </xdr:graphicFrame>
      </mc:Choice>
      <mc:Fallback xmlns="">
        <xdr:sp macro="" textlink="">
          <xdr:nvSpPr>
            <xdr:cNvPr id="0" name=""/>
            <xdr:cNvSpPr>
              <a:spLocks noTextEdit="1"/>
            </xdr:cNvSpPr>
          </xdr:nvSpPr>
          <xdr:spPr>
            <a:xfrm>
              <a:off x="97014" y="2004590"/>
              <a:ext cx="1990549" cy="1676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74706</xdr:colOff>
      <xdr:row>29</xdr:row>
      <xdr:rowOff>38291</xdr:rowOff>
    </xdr:from>
    <xdr:to>
      <xdr:col>3</xdr:col>
      <xdr:colOff>216647</xdr:colOff>
      <xdr:row>36</xdr:row>
      <xdr:rowOff>37357</xdr:rowOff>
    </xdr:to>
    <mc:AlternateContent xmlns:mc="http://schemas.openxmlformats.org/markup-compatibility/2006" xmlns:a14="http://schemas.microsoft.com/office/drawing/2010/main">
      <mc:Choice Requires="a14">
        <xdr:graphicFrame macro="">
          <xdr:nvGraphicFramePr>
            <xdr:cNvPr id="18" name="Crop Name">
              <a:extLst>
                <a:ext uri="{FF2B5EF4-FFF2-40B4-BE49-F238E27FC236}">
                  <a16:creationId xmlns:a16="http://schemas.microsoft.com/office/drawing/2014/main" id="{6F958D64-85E1-47B1-B108-30CDC338C786}"/>
                </a:ext>
              </a:extLst>
            </xdr:cNvPr>
            <xdr:cNvGraphicFramePr/>
          </xdr:nvGraphicFramePr>
          <xdr:xfrm>
            <a:off x="0" y="0"/>
            <a:ext cx="0" cy="0"/>
          </xdr:xfrm>
          <a:graphic>
            <a:graphicData uri="http://schemas.microsoft.com/office/drawing/2010/slicer">
              <sle:slicer xmlns:sle="http://schemas.microsoft.com/office/drawing/2010/slicer" name="Crop Name"/>
            </a:graphicData>
          </a:graphic>
        </xdr:graphicFrame>
      </mc:Choice>
      <mc:Fallback xmlns="">
        <xdr:sp macro="" textlink="">
          <xdr:nvSpPr>
            <xdr:cNvPr id="0" name=""/>
            <xdr:cNvSpPr>
              <a:spLocks noTextEdit="1"/>
            </xdr:cNvSpPr>
          </xdr:nvSpPr>
          <xdr:spPr>
            <a:xfrm>
              <a:off x="74706" y="4642041"/>
              <a:ext cx="1975504" cy="111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590357</xdr:colOff>
      <xdr:row>0</xdr:row>
      <xdr:rowOff>1</xdr:rowOff>
    </xdr:from>
    <xdr:to>
      <xdr:col>2</xdr:col>
      <xdr:colOff>341923</xdr:colOff>
      <xdr:row>4</xdr:row>
      <xdr:rowOff>2210</xdr:rowOff>
    </xdr:to>
    <xdr:pic>
      <xdr:nvPicPr>
        <xdr:cNvPr id="22" name="Picture 21">
          <a:extLst>
            <a:ext uri="{FF2B5EF4-FFF2-40B4-BE49-F238E27FC236}">
              <a16:creationId xmlns:a16="http://schemas.microsoft.com/office/drawing/2014/main" id="{1483A618-B177-4810-9A9D-52AE95973BDA}"/>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27233" b="61408" l="22626" r="79834"/>
                  </a14:imgEffect>
                </a14:imgLayer>
              </a14:imgProps>
            </a:ext>
            <a:ext uri="{28A0092B-C50C-407E-A947-70E740481C1C}">
              <a14:useLocalDpi xmlns:a14="http://schemas.microsoft.com/office/drawing/2010/main" val="0"/>
            </a:ext>
          </a:extLst>
        </a:blip>
        <a:srcRect l="15475" t="22961" r="13015" b="34320"/>
        <a:stretch>
          <a:fillRect/>
        </a:stretch>
      </xdr:blipFill>
      <xdr:spPr>
        <a:xfrm>
          <a:off x="590357" y="1"/>
          <a:ext cx="962951" cy="627440"/>
        </a:xfrm>
        <a:prstGeom prst="rect">
          <a:avLst/>
        </a:prstGeom>
      </xdr:spPr>
    </xdr:pic>
    <xdr:clientData/>
  </xdr:twoCellAnchor>
  <xdr:twoCellAnchor>
    <xdr:from>
      <xdr:col>17</xdr:col>
      <xdr:colOff>544170</xdr:colOff>
      <xdr:row>16</xdr:row>
      <xdr:rowOff>52917</xdr:rowOff>
    </xdr:from>
    <xdr:to>
      <xdr:col>23</xdr:col>
      <xdr:colOff>455976</xdr:colOff>
      <xdr:row>22</xdr:row>
      <xdr:rowOff>79375</xdr:rowOff>
    </xdr:to>
    <xdr:sp macro="" textlink="">
      <xdr:nvSpPr>
        <xdr:cNvPr id="25" name="Rectangle: Rounded Corners 24">
          <a:extLst>
            <a:ext uri="{FF2B5EF4-FFF2-40B4-BE49-F238E27FC236}">
              <a16:creationId xmlns:a16="http://schemas.microsoft.com/office/drawing/2014/main" id="{E777FCF6-2383-C322-3C82-541A0B4641A5}"/>
            </a:ext>
          </a:extLst>
        </xdr:cNvPr>
        <xdr:cNvSpPr/>
      </xdr:nvSpPr>
      <xdr:spPr>
        <a:xfrm>
          <a:off x="10934358" y="2592917"/>
          <a:ext cx="3578931" cy="978958"/>
        </a:xfrm>
        <a:prstGeom prst="roundRect">
          <a:avLst>
            <a:gd name="adj" fmla="val 283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4"/>
              </a:solidFill>
              <a:latin typeface="Times New Roman" panose="02020603050405020304" pitchFamily="18" charset="0"/>
              <a:cs typeface="Times New Roman" panose="02020603050405020304" pitchFamily="18" charset="0"/>
            </a:rPr>
            <a:t>Total</a:t>
          </a:r>
          <a:r>
            <a:rPr lang="en-IN" sz="2400" b="1" baseline="0">
              <a:solidFill>
                <a:schemeClr val="accent4"/>
              </a:solidFill>
              <a:latin typeface="Times New Roman" panose="02020603050405020304" pitchFamily="18" charset="0"/>
              <a:cs typeface="Times New Roman" panose="02020603050405020304" pitchFamily="18" charset="0"/>
            </a:rPr>
            <a:t> Production</a:t>
          </a:r>
          <a:endParaRPr lang="en-IN" sz="2000" b="1" baseline="0">
            <a:solidFill>
              <a:schemeClr val="tx1"/>
            </a:solidFill>
            <a:latin typeface="Times New Roman" panose="02020603050405020304" pitchFamily="18" charset="0"/>
            <a:cs typeface="Times New Roman" panose="02020603050405020304" pitchFamily="18" charset="0"/>
          </a:endParaRPr>
        </a:p>
        <a:p>
          <a:pPr algn="ctr"/>
          <a:r>
            <a:rPr lang="en-IN" sz="1800" b="1" i="0" u="none" strike="noStrike">
              <a:solidFill>
                <a:schemeClr val="tx1"/>
              </a:solidFill>
              <a:effectLst/>
              <a:latin typeface="+mn-lt"/>
              <a:ea typeface="+mn-ea"/>
              <a:cs typeface="+mn-cs"/>
            </a:rPr>
            <a:t>98359.43</a:t>
          </a:r>
          <a:r>
            <a:rPr lang="en-IN" sz="1800" b="1">
              <a:solidFill>
                <a:schemeClr val="tx1"/>
              </a:solidFill>
              <a:effectLst/>
            </a:rPr>
            <a:t> Tones</a:t>
          </a:r>
          <a:endParaRPr lang="en-IN" sz="18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82288</xdr:colOff>
      <xdr:row>15</xdr:row>
      <xdr:rowOff>142875</xdr:rowOff>
    </xdr:from>
    <xdr:to>
      <xdr:col>17</xdr:col>
      <xdr:colOff>285751</xdr:colOff>
      <xdr:row>22</xdr:row>
      <xdr:rowOff>146884</xdr:rowOff>
    </xdr:to>
    <xdr:pic>
      <xdr:nvPicPr>
        <xdr:cNvPr id="29" name="Picture 28">
          <a:extLst>
            <a:ext uri="{FF2B5EF4-FFF2-40B4-BE49-F238E27FC236}">
              <a16:creationId xmlns:a16="http://schemas.microsoft.com/office/drawing/2014/main" id="{E1D978CE-1532-82DB-E921-F4F14FBB46B9}"/>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6962" b="92722" l="9901" r="89604">
                      <a14:foregroundMark x1="69554" y1="46835" x2="58663" y2="50316"/>
                      <a14:foregroundMark x1="58663" y1="50316" x2="53465" y2="60759"/>
                      <a14:foregroundMark x1="53465" y1="60759" x2="75990" y2="57595"/>
                      <a14:foregroundMark x1="75990" y1="57595" x2="71535" y2="45253"/>
                      <a14:foregroundMark x1="71535" y1="45253" x2="70297" y2="45570"/>
                      <a14:foregroundMark x1="47772" y1="58861" x2="54455" y2="47468"/>
                      <a14:foregroundMark x1="54455" y1="47468" x2="46040" y2="61076"/>
                      <a14:foregroundMark x1="34406" y1="9810" x2="65594" y2="5696"/>
                      <a14:foregroundMark x1="65594" y1="5696" x2="75248" y2="12658"/>
                      <a14:foregroundMark x1="75248" y1="12658" x2="79703" y2="24684"/>
                      <a14:foregroundMark x1="79703" y1="24684" x2="70050" y2="27848"/>
                      <a14:foregroundMark x1="70050" y1="27848" x2="61386" y2="21835"/>
                      <a14:foregroundMark x1="61386" y1="21835" x2="56188" y2="11709"/>
                      <a14:foregroundMark x1="56188" y1="11709" x2="46040" y2="7278"/>
                      <a14:foregroundMark x1="46040" y1="7278" x2="36139" y2="10759"/>
                      <a14:foregroundMark x1="36139" y1="10759" x2="36139" y2="11392"/>
                      <a14:foregroundMark x1="32178" y1="89557" x2="41089" y2="93671"/>
                      <a14:foregroundMark x1="41089" y1="93671" x2="51485" y2="95253"/>
                      <a14:foregroundMark x1="51485" y1="95253" x2="64109" y2="89873"/>
                      <a14:foregroundMark x1="64109" y1="89873" x2="34158" y2="92722"/>
                      <a14:foregroundMark x1="34158" y1="92722" x2="62376" y2="88291"/>
                    </a14:backgroundRemoval>
                  </a14:imgEffect>
                </a14:imgLayer>
              </a14:imgProps>
            </a:ext>
            <a:ext uri="{28A0092B-C50C-407E-A947-70E740481C1C}">
              <a14:useLocalDpi xmlns:a14="http://schemas.microsoft.com/office/drawing/2010/main" val="0"/>
            </a:ext>
          </a:extLst>
        </a:blip>
        <a:stretch>
          <a:fillRect/>
        </a:stretch>
      </xdr:blipFill>
      <xdr:spPr>
        <a:xfrm>
          <a:off x="9250101" y="2524125"/>
          <a:ext cx="1425838" cy="11152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 Obul Reddy" refreshedDate="45991.508732175927" createdVersion="8" refreshedVersion="8" minRefreshableVersion="3" recordCount="500" xr:uid="{FF01694F-5615-4B38-85D2-B0FD155AD753}">
  <cacheSource type="worksheet">
    <worksheetSource ref="A1:P501" sheet="Agricultural_Crop_Yield"/>
  </cacheSource>
  <cacheFields count="16">
    <cacheField name="Crop ID" numFmtId="0">
      <sharedItems/>
    </cacheField>
    <cacheField name="Date" numFmtId="164">
      <sharedItems containsSemiMixedTypes="0" containsNonDate="0" containsDate="1" containsString="0" minDate="2010-04-03T00:00:00" maxDate="2023-03-16T00:00:00" count="469">
        <d v="2010-04-03T00:00:00"/>
        <d v="2013-04-11T00:00:00"/>
        <d v="2012-10-16T00:00:00"/>
        <d v="2018-11-21T00:00:00"/>
        <d v="2016-12-14T00:00:00"/>
        <d v="2012-11-09T00:00:00"/>
        <d v="2011-07-06T00:00:00"/>
        <d v="2018-11-24T00:00:00"/>
        <d v="2012-05-06T00:00:00"/>
        <d v="2011-05-17T00:00:00"/>
        <d v="2018-10-14T00:00:00"/>
        <d v="2017-06-22T00:00:00"/>
        <d v="2022-05-30T00:00:00"/>
        <d v="2021-06-17T00:00:00"/>
        <d v="2018-07-31T00:00:00"/>
        <d v="2013-04-07T00:00:00"/>
        <d v="2016-12-19T00:00:00"/>
        <d v="2016-10-17T00:00:00"/>
        <d v="2013-02-25T00:00:00"/>
        <d v="2021-04-21T00:00:00"/>
        <d v="2017-04-16T00:00:00"/>
        <d v="2013-04-26T00:00:00"/>
        <d v="2014-12-25T00:00:00"/>
        <d v="2015-10-20T00:00:00"/>
        <d v="2013-01-07T00:00:00"/>
        <d v="2010-09-22T00:00:00"/>
        <d v="2018-09-19T00:00:00"/>
        <d v="2015-07-10T00:00:00"/>
        <d v="2022-06-28T00:00:00"/>
        <d v="2017-07-20T00:00:00"/>
        <d v="2012-01-07T00:00:00"/>
        <d v="2017-02-20T00:00:00"/>
        <d v="2020-05-13T00:00:00"/>
        <d v="2018-12-15T00:00:00"/>
        <d v="2016-05-21T00:00:00"/>
        <d v="2014-04-03T00:00:00"/>
        <d v="2022-06-02T00:00:00"/>
        <d v="2013-10-14T00:00:00"/>
        <d v="2023-03-02T00:00:00"/>
        <d v="2021-03-19T00:00:00"/>
        <d v="2014-02-16T00:00:00"/>
        <d v="2021-10-18T00:00:00"/>
        <d v="2014-03-17T00:00:00"/>
        <d v="2019-04-21T00:00:00"/>
        <d v="2014-11-11T00:00:00"/>
        <d v="2010-04-11T00:00:00"/>
        <d v="2021-07-21T00:00:00"/>
        <d v="2020-09-18T00:00:00"/>
        <d v="2021-02-20T00:00:00"/>
        <d v="2021-01-02T00:00:00"/>
        <d v="2014-01-06T00:00:00"/>
        <d v="2022-03-02T00:00:00"/>
        <d v="2012-03-20T00:00:00"/>
        <d v="2018-03-04T00:00:00"/>
        <d v="2022-05-05T00:00:00"/>
        <d v="2010-04-29T00:00:00"/>
        <d v="2015-03-25T00:00:00"/>
        <d v="2011-05-08T00:00:00"/>
        <d v="2019-07-15T00:00:00"/>
        <d v="2010-12-30T00:00:00"/>
        <d v="2019-05-21T00:00:00"/>
        <d v="2019-11-11T00:00:00"/>
        <d v="2019-12-15T00:00:00"/>
        <d v="2017-11-27T00:00:00"/>
        <d v="2022-02-12T00:00:00"/>
        <d v="2020-04-14T00:00:00"/>
        <d v="2014-11-24T00:00:00"/>
        <d v="2017-08-02T00:00:00"/>
        <d v="2016-10-08T00:00:00"/>
        <d v="2014-05-06T00:00:00"/>
        <d v="2015-07-09T00:00:00"/>
        <d v="2018-04-27T00:00:00"/>
        <d v="2023-01-21T00:00:00"/>
        <d v="2010-05-19T00:00:00"/>
        <d v="2022-03-25T00:00:00"/>
        <d v="2011-04-01T00:00:00"/>
        <d v="2018-08-17T00:00:00"/>
        <d v="2011-10-23T00:00:00"/>
        <d v="2017-11-11T00:00:00"/>
        <d v="2010-05-05T00:00:00"/>
        <d v="2014-06-20T00:00:00"/>
        <d v="2020-04-30T00:00:00"/>
        <d v="2021-03-24T00:00:00"/>
        <d v="2020-08-17T00:00:00"/>
        <d v="2013-05-24T00:00:00"/>
        <d v="2014-08-31T00:00:00"/>
        <d v="2013-07-23T00:00:00"/>
        <d v="2013-04-10T00:00:00"/>
        <d v="2022-07-15T00:00:00"/>
        <d v="2021-12-27T00:00:00"/>
        <d v="2022-04-07T00:00:00"/>
        <d v="2011-10-31T00:00:00"/>
        <d v="2018-04-30T00:00:00"/>
        <d v="2011-11-24T00:00:00"/>
        <d v="2021-11-14T00:00:00"/>
        <d v="2015-08-11T00:00:00"/>
        <d v="2018-04-23T00:00:00"/>
        <d v="2019-04-22T00:00:00"/>
        <d v="2022-02-17T00:00:00"/>
        <d v="2017-01-18T00:00:00"/>
        <d v="2019-09-19T00:00:00"/>
        <d v="2020-02-26T00:00:00"/>
        <d v="2011-07-14T00:00:00"/>
        <d v="2011-04-10T00:00:00"/>
        <d v="2019-10-23T00:00:00"/>
        <d v="2015-08-19T00:00:00"/>
        <d v="2010-11-11T00:00:00"/>
        <d v="2020-06-22T00:00:00"/>
        <d v="2010-08-26T00:00:00"/>
        <d v="2021-01-25T00:00:00"/>
        <d v="2013-02-05T00:00:00"/>
        <d v="2020-04-20T00:00:00"/>
        <d v="2023-03-15T00:00:00"/>
        <d v="2022-04-03T00:00:00"/>
        <d v="2021-07-20T00:00:00"/>
        <d v="2018-01-04T00:00:00"/>
        <d v="2015-05-03T00:00:00"/>
        <d v="2011-06-21T00:00:00"/>
        <d v="2015-07-06T00:00:00"/>
        <d v="2010-08-01T00:00:00"/>
        <d v="2017-06-01T00:00:00"/>
        <d v="2020-03-09T00:00:00"/>
        <d v="2017-06-27T00:00:00"/>
        <d v="2012-07-05T00:00:00"/>
        <d v="2011-03-20T00:00:00"/>
        <d v="2022-04-28T00:00:00"/>
        <d v="2016-12-17T00:00:00"/>
        <d v="2011-08-30T00:00:00"/>
        <d v="2020-09-21T00:00:00"/>
        <d v="2013-05-19T00:00:00"/>
        <d v="2019-03-24T00:00:00"/>
        <d v="2022-02-22T00:00:00"/>
        <d v="2022-06-23T00:00:00"/>
        <d v="2021-05-14T00:00:00"/>
        <d v="2022-05-04T00:00:00"/>
        <d v="2013-01-17T00:00:00"/>
        <d v="2018-05-30T00:00:00"/>
        <d v="2011-10-18T00:00:00"/>
        <d v="2017-07-07T00:00:00"/>
        <d v="2015-04-18T00:00:00"/>
        <d v="2011-10-26T00:00:00"/>
        <d v="2017-04-14T00:00:00"/>
        <d v="2011-01-07T00:00:00"/>
        <d v="2015-10-19T00:00:00"/>
        <d v="2020-04-13T00:00:00"/>
        <d v="2018-08-21T00:00:00"/>
        <d v="2021-11-29T00:00:00"/>
        <d v="2022-05-17T00:00:00"/>
        <d v="2012-05-15T00:00:00"/>
        <d v="2017-11-16T00:00:00"/>
        <d v="2019-01-07T00:00:00"/>
        <d v="2014-01-29T00:00:00"/>
        <d v="2015-01-13T00:00:00"/>
        <d v="2021-03-31T00:00:00"/>
        <d v="2020-05-06T00:00:00"/>
        <d v="2017-12-30T00:00:00"/>
        <d v="2010-08-14T00:00:00"/>
        <d v="2019-04-09T00:00:00"/>
        <d v="2013-10-24T00:00:00"/>
        <d v="2020-11-02T00:00:00"/>
        <d v="2017-12-01T00:00:00"/>
        <d v="2016-04-15T00:00:00"/>
        <d v="2012-11-21T00:00:00"/>
        <d v="2021-05-06T00:00:00"/>
        <d v="2021-10-17T00:00:00"/>
        <d v="2011-02-05T00:00:00"/>
        <d v="2020-04-15T00:00:00"/>
        <d v="2014-12-19T00:00:00"/>
        <d v="2016-04-03T00:00:00"/>
        <d v="2018-08-22T00:00:00"/>
        <d v="2020-04-23T00:00:00"/>
        <d v="2015-05-16T00:00:00"/>
        <d v="2010-05-30T00:00:00"/>
        <d v="2011-05-19T00:00:00"/>
        <d v="2018-07-01T00:00:00"/>
        <d v="2019-04-20T00:00:00"/>
        <d v="2017-12-27T00:00:00"/>
        <d v="2018-05-12T00:00:00"/>
        <d v="2021-05-27T00:00:00"/>
        <d v="2018-07-09T00:00:00"/>
        <d v="2017-11-04T00:00:00"/>
        <d v="2014-05-04T00:00:00"/>
        <d v="2019-05-15T00:00:00"/>
        <d v="2011-04-06T00:00:00"/>
        <d v="2020-11-12T00:00:00"/>
        <d v="2018-05-16T00:00:00"/>
        <d v="2012-04-23T00:00:00"/>
        <d v="2013-09-24T00:00:00"/>
        <d v="2018-11-22T00:00:00"/>
        <d v="2021-04-18T00:00:00"/>
        <d v="2013-01-23T00:00:00"/>
        <d v="2017-01-08T00:00:00"/>
        <d v="2012-10-05T00:00:00"/>
        <d v="2017-09-19T00:00:00"/>
        <d v="2015-05-21T00:00:00"/>
        <d v="2014-12-24T00:00:00"/>
        <d v="2021-06-19T00:00:00"/>
        <d v="2020-03-17T00:00:00"/>
        <d v="2011-08-24T00:00:00"/>
        <d v="2011-12-09T00:00:00"/>
        <d v="2012-01-29T00:00:00"/>
        <d v="2021-04-11T00:00:00"/>
        <d v="2019-10-16T00:00:00"/>
        <d v="2014-01-30T00:00:00"/>
        <d v="2020-05-15T00:00:00"/>
        <d v="2016-05-02T00:00:00"/>
        <d v="2016-03-09T00:00:00"/>
        <d v="2018-01-10T00:00:00"/>
        <d v="2013-02-02T00:00:00"/>
        <d v="2011-12-06T00:00:00"/>
        <d v="2022-10-10T00:00:00"/>
        <d v="2011-02-09T00:00:00"/>
        <d v="2021-03-05T00:00:00"/>
        <d v="2016-02-26T00:00:00"/>
        <d v="2018-02-01T00:00:00"/>
        <d v="2020-05-01T00:00:00"/>
        <d v="2013-05-01T00:00:00"/>
        <d v="2011-05-14T00:00:00"/>
        <d v="2019-09-22T00:00:00"/>
        <d v="2012-08-03T00:00:00"/>
        <d v="2021-04-19T00:00:00"/>
        <d v="2017-12-04T00:00:00"/>
        <d v="2016-11-16T00:00:00"/>
        <d v="2020-04-06T00:00:00"/>
        <d v="2013-06-23T00:00:00"/>
        <d v="2019-05-31T00:00:00"/>
        <d v="2014-04-17T00:00:00"/>
        <d v="2021-07-16T00:00:00"/>
        <d v="2022-05-06T00:00:00"/>
        <d v="2013-12-21T00:00:00"/>
        <d v="2012-08-18T00:00:00"/>
        <d v="2014-03-14T00:00:00"/>
        <d v="2017-04-09T00:00:00"/>
        <d v="2016-03-29T00:00:00"/>
        <d v="2012-12-01T00:00:00"/>
        <d v="2014-04-04T00:00:00"/>
        <d v="2010-11-16T00:00:00"/>
        <d v="2017-02-22T00:00:00"/>
        <d v="2011-09-18T00:00:00"/>
        <d v="2012-11-23T00:00:00"/>
        <d v="2016-10-03T00:00:00"/>
        <d v="2016-02-29T00:00:00"/>
        <d v="2013-09-08T00:00:00"/>
        <d v="2012-10-23T00:00:00"/>
        <d v="2022-11-01T00:00:00"/>
        <d v="2022-10-13T00:00:00"/>
        <d v="2021-05-02T00:00:00"/>
        <d v="2018-05-17T00:00:00"/>
        <d v="2016-05-18T00:00:00"/>
        <d v="2015-08-29T00:00:00"/>
        <d v="2021-09-05T00:00:00"/>
        <d v="2022-04-17T00:00:00"/>
        <d v="2013-02-19T00:00:00"/>
        <d v="2012-08-12T00:00:00"/>
        <d v="2011-03-03T00:00:00"/>
        <d v="2013-08-07T00:00:00"/>
        <d v="2016-08-08T00:00:00"/>
        <d v="2022-04-25T00:00:00"/>
        <d v="2021-03-13T00:00:00"/>
        <d v="2012-09-20T00:00:00"/>
        <d v="2012-04-18T00:00:00"/>
        <d v="2022-05-31T00:00:00"/>
        <d v="2022-06-10T00:00:00"/>
        <d v="2012-05-01T00:00:00"/>
        <d v="2016-02-22T00:00:00"/>
        <d v="2016-05-03T00:00:00"/>
        <d v="2021-04-16T00:00:00"/>
        <d v="2015-05-02T00:00:00"/>
        <d v="2017-04-04T00:00:00"/>
        <d v="2022-07-04T00:00:00"/>
        <d v="2013-12-26T00:00:00"/>
        <d v="2018-04-07T00:00:00"/>
        <d v="2014-05-22T00:00:00"/>
        <d v="2015-05-08T00:00:00"/>
        <d v="2015-04-11T00:00:00"/>
        <d v="2011-12-28T00:00:00"/>
        <d v="2015-11-19T00:00:00"/>
        <d v="2011-05-28T00:00:00"/>
        <d v="2021-07-14T00:00:00"/>
        <d v="2017-07-22T00:00:00"/>
        <d v="2012-10-04T00:00:00"/>
        <d v="2014-04-25T00:00:00"/>
        <d v="2017-05-09T00:00:00"/>
        <d v="2018-04-13T00:00:00"/>
        <d v="2014-10-25T00:00:00"/>
        <d v="2022-04-04T00:00:00"/>
        <d v="2010-12-06T00:00:00"/>
        <d v="2017-04-25T00:00:00"/>
        <d v="2022-11-17T00:00:00"/>
        <d v="2010-05-15T00:00:00"/>
        <d v="2020-05-12T00:00:00"/>
        <d v="2017-09-05T00:00:00"/>
        <d v="2011-11-05T00:00:00"/>
        <d v="2010-04-24T00:00:00"/>
        <d v="2018-01-30T00:00:00"/>
        <d v="2015-05-10T00:00:00"/>
        <d v="2016-09-24T00:00:00"/>
        <d v="2018-07-16T00:00:00"/>
        <d v="2015-03-22T00:00:00"/>
        <d v="2023-02-17T00:00:00"/>
        <d v="2010-12-08T00:00:00"/>
        <d v="2013-05-21T00:00:00"/>
        <d v="2011-02-22T00:00:00"/>
        <d v="2021-04-30T00:00:00"/>
        <d v="2012-04-22T00:00:00"/>
        <d v="2022-05-10T00:00:00"/>
        <d v="2021-02-04T00:00:00"/>
        <d v="2018-03-18T00:00:00"/>
        <d v="2011-06-19T00:00:00"/>
        <d v="2022-02-13T00:00:00"/>
        <d v="2016-11-19T00:00:00"/>
        <d v="2014-05-05T00:00:00"/>
        <d v="2016-04-12T00:00:00"/>
        <d v="2013-10-19T00:00:00"/>
        <d v="2011-11-18T00:00:00"/>
        <d v="2017-12-14T00:00:00"/>
        <d v="2022-08-31T00:00:00"/>
        <d v="2011-06-05T00:00:00"/>
        <d v="2019-05-20T00:00:00"/>
        <d v="2013-05-22T00:00:00"/>
        <d v="2022-05-19T00:00:00"/>
        <d v="2015-01-22T00:00:00"/>
        <d v="2020-11-20T00:00:00"/>
        <d v="2013-04-09T00:00:00"/>
        <d v="2011-04-27T00:00:00"/>
        <d v="2020-03-10T00:00:00"/>
        <d v="2021-03-10T00:00:00"/>
        <d v="2019-07-04T00:00:00"/>
        <d v="2022-05-27T00:00:00"/>
        <d v="2013-08-20T00:00:00"/>
        <d v="2013-02-14T00:00:00"/>
        <d v="2017-07-01T00:00:00"/>
        <d v="2012-07-08T00:00:00"/>
        <d v="2011-10-12T00:00:00"/>
        <d v="2010-07-30T00:00:00"/>
        <d v="2011-02-12T00:00:00"/>
        <d v="2010-05-23T00:00:00"/>
        <d v="2013-11-30T00:00:00"/>
        <d v="2022-05-28T00:00:00"/>
        <d v="2017-08-30T00:00:00"/>
        <d v="2021-12-26T00:00:00"/>
        <d v="2021-05-24T00:00:00"/>
        <d v="2022-10-02T00:00:00"/>
        <d v="2017-05-22T00:00:00"/>
        <d v="2014-01-27T00:00:00"/>
        <d v="2016-07-29T00:00:00"/>
        <d v="2022-07-16T00:00:00"/>
        <d v="2015-02-14T00:00:00"/>
        <d v="2019-10-03T00:00:00"/>
        <d v="2020-03-26T00:00:00"/>
        <d v="2011-09-22T00:00:00"/>
        <d v="2019-02-10T00:00:00"/>
        <d v="2017-05-27T00:00:00"/>
        <d v="2013-04-30T00:00:00"/>
        <d v="2017-10-15T00:00:00"/>
        <d v="2018-07-05T00:00:00"/>
        <d v="2018-06-02T00:00:00"/>
        <d v="2016-04-16T00:00:00"/>
        <d v="2022-04-08T00:00:00"/>
        <d v="2014-04-19T00:00:00"/>
        <d v="2017-04-30T00:00:00"/>
        <d v="2022-06-04T00:00:00"/>
        <d v="2013-12-24T00:00:00"/>
        <d v="2014-11-14T00:00:00"/>
        <d v="2021-03-02T00:00:00"/>
        <d v="2022-07-10T00:00:00"/>
        <d v="2014-09-28T00:00:00"/>
        <d v="2018-07-18T00:00:00"/>
        <d v="2022-04-19T00:00:00"/>
        <d v="2015-06-26T00:00:00"/>
        <d v="2016-05-29T00:00:00"/>
        <d v="2012-01-08T00:00:00"/>
        <d v="2012-03-14T00:00:00"/>
        <d v="2012-04-11T00:00:00"/>
        <d v="2019-01-23T00:00:00"/>
        <d v="2016-04-29T00:00:00"/>
        <d v="2021-06-06T00:00:00"/>
        <d v="2018-04-17T00:00:00"/>
        <d v="2016-04-07T00:00:00"/>
        <d v="2010-04-08T00:00:00"/>
        <d v="2019-10-07T00:00:00"/>
        <d v="2020-04-22T00:00:00"/>
        <d v="2019-10-26T00:00:00"/>
        <d v="2010-08-13T00:00:00"/>
        <d v="2022-08-06T00:00:00"/>
        <d v="2021-08-09T00:00:00"/>
        <d v="2010-09-06T00:00:00"/>
        <d v="2016-03-15T00:00:00"/>
        <d v="2016-04-04T00:00:00"/>
        <d v="2018-12-29T00:00:00"/>
        <d v="2012-12-22T00:00:00"/>
        <d v="2012-12-19T00:00:00"/>
        <d v="2020-02-13T00:00:00"/>
        <d v="2013-05-02T00:00:00"/>
        <d v="2014-03-15T00:00:00"/>
        <d v="2017-11-13T00:00:00"/>
        <d v="2017-02-24T00:00:00"/>
        <d v="2011-10-30T00:00:00"/>
        <d v="2015-02-01T00:00:00"/>
        <d v="2016-05-13T00:00:00"/>
        <d v="2012-04-01T00:00:00"/>
        <d v="2011-03-02T00:00:00"/>
        <d v="2010-07-16T00:00:00"/>
        <d v="2019-04-06T00:00:00"/>
        <d v="2016-09-14T00:00:00"/>
        <d v="2013-05-25T00:00:00"/>
        <d v="2019-05-27T00:00:00"/>
        <d v="2014-09-14T00:00:00"/>
        <d v="2018-04-21T00:00:00"/>
        <d v="2016-03-02T00:00:00"/>
        <d v="2020-08-16T00:00:00"/>
        <d v="2015-04-10T00:00:00"/>
        <d v="2016-01-20T00:00:00"/>
        <d v="2011-11-10T00:00:00"/>
        <d v="2018-08-23T00:00:00"/>
        <d v="2018-04-03T00:00:00"/>
        <d v="2015-12-20T00:00:00"/>
        <d v="2015-12-23T00:00:00"/>
        <d v="2015-11-13T00:00:00"/>
        <d v="2020-09-23T00:00:00"/>
        <d v="2015-06-24T00:00:00"/>
        <d v="2014-04-24T00:00:00"/>
        <d v="2021-01-29T00:00:00"/>
        <d v="2018-09-11T00:00:00"/>
        <d v="2019-09-20T00:00:00"/>
        <d v="2018-05-23T00:00:00"/>
        <d v="2016-07-06T00:00:00"/>
        <d v="2022-08-21T00:00:00"/>
        <d v="2014-12-03T00:00:00"/>
        <d v="2018-10-30T00:00:00"/>
        <d v="2022-02-01T00:00:00"/>
        <d v="2020-07-05T00:00:00"/>
        <d v="2023-02-24T00:00:00"/>
        <d v="2021-11-21T00:00:00"/>
        <d v="2013-11-14T00:00:00"/>
        <d v="2017-11-10T00:00:00"/>
        <d v="2021-05-10T00:00:00"/>
        <d v="2011-06-29T00:00:00"/>
        <d v="2021-06-09T00:00:00"/>
        <d v="2019-08-28T00:00:00"/>
        <d v="2022-09-08T00:00:00"/>
        <d v="2019-03-17T00:00:00"/>
        <d v="2019-05-18T00:00:00"/>
        <d v="2019-06-04T00:00:00"/>
        <d v="2011-05-09T00:00:00"/>
        <d v="2011-04-12T00:00:00"/>
        <d v="2014-07-22T00:00:00"/>
        <d v="2020-11-27T00:00:00"/>
        <d v="2019-04-18T00:00:00"/>
        <d v="2016-04-01T00:00:00"/>
        <d v="2011-05-25T00:00:00"/>
        <d v="2023-01-31T00:00:00"/>
        <d v="2017-05-02T00:00:00"/>
        <d v="2010-10-16T00:00:00"/>
        <d v="2013-07-04T00:00:00"/>
        <d v="2010-12-27T00:00:00"/>
        <d v="2016-12-15T00:00:00"/>
        <d v="2014-09-05T00:00:00"/>
        <d v="2011-07-23T00:00:00"/>
        <d v="2019-01-17T00:00:00"/>
        <d v="2018-09-27T00:00:00"/>
        <d v="2013-09-02T00:00:00"/>
        <d v="2014-11-08T00:00:00"/>
        <d v="2013-03-26T00:00:00"/>
        <d v="2012-03-27T00:00:00"/>
        <d v="2012-01-03T00:00:00"/>
        <d v="2019-10-08T00:00:00"/>
        <d v="2016-12-04T00:00:00"/>
        <d v="2020-09-27T00:00:00"/>
      </sharedItems>
    </cacheField>
    <cacheField name="Year" numFmtId="0">
      <sharedItems containsSemiMixedTypes="0" containsString="0" containsNumber="1" containsInteger="1" minValue="2010" maxValue="2022" count="13">
        <n v="2010"/>
        <n v="2013"/>
        <n v="2012"/>
        <n v="2018"/>
        <n v="2016"/>
        <n v="2011"/>
        <n v="2017"/>
        <n v="2022"/>
        <n v="2021"/>
        <n v="2014"/>
        <n v="2015"/>
        <n v="2020"/>
        <n v="2019"/>
      </sharedItems>
    </cacheField>
    <cacheField name="State" numFmtId="0">
      <sharedItems count="7">
        <s v="Uttar Pradesh"/>
        <s v="Punjab"/>
        <s v="Maharashtra"/>
        <s v="Karnataka"/>
        <s v="West Bengal"/>
        <s v="Bihar"/>
        <s v="Haryana"/>
      </sharedItems>
    </cacheField>
    <cacheField name="District" numFmtId="0">
      <sharedItems count="21">
        <s v="Lucknow"/>
        <s v="Ludhiana"/>
        <s v="Pune"/>
        <s v="Bangalore"/>
        <s v="Kolkata"/>
        <s v="Mysore"/>
        <s v="Varanasi"/>
        <s v="Patna"/>
        <s v="Gaya"/>
        <s v="Darjeeling"/>
        <s v="Patiala"/>
        <s v="Kanpur"/>
        <s v="Hubli"/>
        <s v="Nagpur"/>
        <s v="Amritsar"/>
        <s v="Bhagalpur"/>
        <s v="Howrah"/>
        <s v="Gurgaon"/>
        <s v="Faridabad"/>
        <s v="Mumbai"/>
        <s v="Hisar"/>
      </sharedItems>
    </cacheField>
    <cacheField name="Season" numFmtId="0">
      <sharedItems count="3">
        <s v="Zaid"/>
        <s v="Kharif"/>
        <s v="Rabi"/>
      </sharedItems>
    </cacheField>
    <cacheField name="Crop Name" numFmtId="0">
      <sharedItems count="6">
        <s v="Maize"/>
        <s v="Pulses"/>
        <s v="Cotton"/>
        <s v="Sugarcane"/>
        <s v="Rice"/>
        <s v="Wheat"/>
      </sharedItems>
    </cacheField>
    <cacheField name="Area (Hectares)" numFmtId="0">
      <sharedItems containsSemiMixedTypes="0" containsString="0" containsNumber="1" minValue="1.02" maxValue="99.72"/>
    </cacheField>
    <cacheField name="Production (Tonnes)" numFmtId="0">
      <sharedItems containsSemiMixedTypes="0" containsString="0" containsNumber="1" minValue="1.58" maxValue="668.98" count="498">
        <n v="46.37"/>
        <n v="7.96"/>
        <n v="36.47"/>
        <n v="383.97"/>
        <n v="203.87"/>
        <n v="181.63"/>
        <n v="253.46"/>
        <n v="376"/>
        <n v="280.58999999999997"/>
        <n v="422.78"/>
        <n v="147.66999999999999"/>
        <n v="583.20000000000005"/>
        <n v="52.81"/>
        <n v="222.09"/>
        <n v="32.51"/>
        <n v="457.03"/>
        <n v="31.3"/>
        <n v="292.36"/>
        <n v="301.04000000000002"/>
        <n v="139.1"/>
        <n v="112.23"/>
        <n v="7.36"/>
        <n v="614.94000000000005"/>
        <n v="73.150000000000006"/>
        <n v="485.89"/>
        <n v="114.2"/>
        <n v="53.22"/>
        <n v="54.44"/>
        <n v="18.7"/>
        <n v="307.87"/>
        <n v="219.21"/>
        <n v="285.33999999999997"/>
        <n v="161.41999999999999"/>
        <n v="141.46"/>
        <n v="70.27"/>
        <n v="191.69"/>
        <n v="200.84"/>
        <n v="68.03"/>
        <n v="518.9"/>
        <n v="119.29"/>
        <n v="36.840000000000003"/>
        <n v="40.03"/>
        <n v="163.59"/>
        <n v="33.25"/>
        <n v="319.74"/>
        <n v="94.57"/>
        <n v="159.11000000000001"/>
        <n v="196.72"/>
        <n v="505.04"/>
        <n v="342.59"/>
        <n v="201.09"/>
        <n v="13.38"/>
        <n v="100.95"/>
        <n v="44.63"/>
        <n v="46.52"/>
        <n v="123.11"/>
        <n v="280.48"/>
        <n v="350.58"/>
        <n v="153.24"/>
        <n v="264.5"/>
        <n v="183.88"/>
        <n v="68.31"/>
        <n v="67.989999999999995"/>
        <n v="360.45"/>
        <n v="226.62"/>
        <n v="89.08"/>
        <n v="57.48"/>
        <n v="332.71"/>
        <n v="322.08"/>
        <n v="375.88"/>
        <n v="81.260000000000005"/>
        <n v="543.95000000000005"/>
        <n v="212.23"/>
        <n v="123.78"/>
        <n v="32.06"/>
        <n v="152.44"/>
        <n v="137.47"/>
        <n v="256.33999999999997"/>
        <n v="190.26"/>
        <n v="113.25"/>
        <n v="609.79"/>
        <n v="666.82"/>
        <n v="187.07"/>
        <n v="533.03"/>
        <n v="127.37"/>
        <n v="137.91999999999999"/>
        <n v="22.91"/>
        <n v="195.41"/>
        <n v="76.72"/>
        <n v="16.920000000000002"/>
        <n v="149.97999999999999"/>
        <n v="85.35"/>
        <n v="56.38"/>
        <n v="80.790000000000006"/>
        <n v="253.41"/>
        <n v="98.79"/>
        <n v="294.37"/>
        <n v="42.97"/>
        <n v="378.19"/>
        <n v="127.46"/>
        <n v="141.71"/>
        <n v="303.19"/>
        <n v="198.67"/>
        <n v="245.73"/>
        <n v="114.28"/>
        <n v="56.75"/>
        <n v="28.35"/>
        <n v="53.2"/>
        <n v="244.1"/>
        <n v="161.24"/>
        <n v="146.26"/>
        <n v="502.48"/>
        <n v="645.66"/>
        <n v="42.77"/>
        <n v="115.78"/>
        <n v="338.86"/>
        <n v="313.48"/>
        <n v="292.54000000000002"/>
        <n v="583.11"/>
        <n v="375.65"/>
        <n v="158.30000000000001"/>
        <n v="335.23"/>
        <n v="101.07"/>
        <n v="127.32"/>
        <n v="323.81"/>
        <n v="11.73"/>
        <n v="180.99"/>
        <n v="199.74"/>
        <n v="188.59"/>
        <n v="231.84"/>
        <n v="246.78"/>
        <n v="85.83"/>
        <n v="270.37"/>
        <n v="306.33"/>
        <n v="91.75"/>
        <n v="297.82"/>
        <n v="331.86"/>
        <n v="155.88999999999999"/>
        <n v="267.19"/>
        <n v="200.13"/>
        <n v="153.32"/>
        <n v="174.11"/>
        <n v="585.04"/>
        <n v="143.65"/>
        <n v="364.33"/>
        <n v="26.49"/>
        <n v="21.71"/>
        <n v="25.62"/>
        <n v="204.76"/>
        <n v="290.01"/>
        <n v="408.89"/>
        <n v="82.24"/>
        <n v="157.69999999999999"/>
        <n v="203.12"/>
        <n v="246.05"/>
        <n v="107.15"/>
        <n v="84.37"/>
        <n v="140.76"/>
        <n v="181.51"/>
        <n v="279.70999999999998"/>
        <n v="64.150000000000006"/>
        <n v="79.08"/>
        <n v="164.87"/>
        <n v="584.53"/>
        <n v="320.58"/>
        <n v="153.62"/>
        <n v="40.619999999999997"/>
        <n v="26.66"/>
        <n v="34.11"/>
        <n v="202.79"/>
        <n v="255.9"/>
        <n v="34.86"/>
        <n v="103.51"/>
        <n v="111.18"/>
        <n v="115.95"/>
        <n v="420.52"/>
        <n v="108.81"/>
        <n v="139.66999999999999"/>
        <n v="98.1"/>
        <n v="429.32"/>
        <n v="200.3"/>
        <n v="99.61"/>
        <n v="473.73"/>
        <n v="310.88"/>
        <n v="15.87"/>
        <n v="212.77"/>
        <n v="118.95"/>
        <n v="668.98"/>
        <n v="28"/>
        <n v="348.12"/>
        <n v="285.25"/>
        <n v="87.55"/>
        <n v="215.27"/>
        <n v="228.75"/>
        <n v="317.02999999999997"/>
        <n v="155.28"/>
        <n v="208.55"/>
        <n v="60.24"/>
        <n v="53.78"/>
        <n v="124.09"/>
        <n v="333.62"/>
        <n v="133.47"/>
        <n v="212.06"/>
        <n v="139.59"/>
        <n v="91.25"/>
        <n v="380.95"/>
        <n v="198.75"/>
        <n v="166.56"/>
        <n v="417.55"/>
        <n v="204.9"/>
        <n v="19.899999999999999"/>
        <n v="330.89"/>
        <n v="416.92"/>
        <n v="382.25"/>
        <n v="188.38"/>
        <n v="95.99"/>
        <n v="84.02"/>
        <n v="155.94"/>
        <n v="275.14999999999998"/>
        <n v="98.42"/>
        <n v="353.79"/>
        <n v="29.14"/>
        <n v="47.24"/>
        <n v="35.96"/>
        <n v="237.91"/>
        <n v="227.81"/>
        <n v="401.76"/>
        <n v="120.08"/>
        <n v="382.59"/>
        <n v="272.48"/>
        <n v="150.69999999999999"/>
        <n v="172.33"/>
        <n v="30.88"/>
        <n v="251.06"/>
        <n v="75.489999999999995"/>
        <n v="57.83"/>
        <n v="134.91999999999999"/>
        <n v="427.76"/>
        <n v="14.32"/>
        <n v="657.29"/>
        <n v="235.91"/>
        <n v="246.54"/>
        <n v="55.34"/>
        <n v="139.08000000000001"/>
        <n v="241.01"/>
        <n v="308.64"/>
        <n v="39.33"/>
        <n v="85.43"/>
        <n v="368.04"/>
        <n v="54.77"/>
        <n v="62.49"/>
        <n v="176.32"/>
        <n v="124.59"/>
        <n v="468.78"/>
        <n v="178.2"/>
        <n v="184.6"/>
        <n v="55.36"/>
        <n v="135.84"/>
        <n v="211.56"/>
        <n v="179.03"/>
        <n v="314.62"/>
        <n v="231.27"/>
        <n v="218.67"/>
        <n v="44.58"/>
        <n v="285.17"/>
        <n v="52.94"/>
        <n v="340.55"/>
        <n v="125.14"/>
        <n v="175.14"/>
        <n v="336.68"/>
        <n v="545.67999999999995"/>
        <n v="233.27"/>
        <n v="113.55"/>
        <n v="35.92"/>
        <n v="88.14"/>
        <n v="167.06"/>
        <n v="70.59"/>
        <n v="329.76"/>
        <n v="228.6"/>
        <n v="61.46"/>
        <n v="221.5"/>
        <n v="357.16"/>
        <n v="96.82"/>
        <n v="397.86"/>
        <n v="183.89"/>
        <n v="185.93"/>
        <n v="235.82"/>
        <n v="296.83999999999997"/>
        <n v="2.84"/>
        <n v="83.78"/>
        <n v="126.62"/>
        <n v="40.479999999999997"/>
        <n v="109.14"/>
        <n v="21.32"/>
        <n v="116.77"/>
        <n v="231.13"/>
        <n v="137.03"/>
        <n v="75.66"/>
        <n v="19.66"/>
        <n v="289.25"/>
        <n v="242.69"/>
        <n v="220.43"/>
        <n v="296.27"/>
        <n v="1.58"/>
        <n v="354.04"/>
        <n v="10.98"/>
        <n v="177.11"/>
        <n v="7.75"/>
        <n v="306.45999999999998"/>
        <n v="67.75"/>
        <n v="450.18"/>
        <n v="214.82"/>
        <n v="8.3699999999999992"/>
        <n v="135.66"/>
        <n v="241.98"/>
        <n v="324.23"/>
        <n v="136.91"/>
        <n v="368.72"/>
        <n v="154.22999999999999"/>
        <n v="209.71"/>
        <n v="611.5"/>
        <n v="148.99"/>
        <n v="144.31"/>
        <n v="12.81"/>
        <n v="13.46"/>
        <n v="164.17"/>
        <n v="179.08"/>
        <n v="267.97000000000003"/>
        <n v="296.95"/>
        <n v="92.09"/>
        <n v="342.05"/>
        <n v="268.51"/>
        <n v="369.46"/>
        <n v="175.64"/>
        <n v="154.83000000000001"/>
        <n v="93.74"/>
        <n v="11.74"/>
        <n v="115.48"/>
        <n v="223.06"/>
        <n v="54.76"/>
        <n v="220.06"/>
        <n v="55.27"/>
        <n v="107.02"/>
        <n v="84.87"/>
        <n v="225.56"/>
        <n v="154.07"/>
        <n v="19.239999999999998"/>
        <n v="77.8"/>
        <n v="151.37"/>
        <n v="219.91"/>
        <n v="293.43"/>
        <n v="33.99"/>
        <n v="53.15"/>
        <n v="451.33"/>
        <n v="12"/>
        <n v="148.66"/>
        <n v="473.84"/>
        <n v="36.93"/>
        <n v="99.91"/>
        <n v="110.78"/>
        <n v="465.55"/>
        <n v="342.49"/>
        <n v="204.62"/>
        <n v="34.770000000000003"/>
        <n v="227.57"/>
        <n v="143.86000000000001"/>
        <n v="413.21"/>
        <n v="57.57"/>
        <n v="283.95"/>
        <n v="118.76"/>
        <n v="68.44"/>
        <n v="107.56"/>
        <n v="12.21"/>
        <n v="78.900000000000006"/>
        <n v="247.2"/>
        <n v="142.93"/>
        <n v="616.66"/>
        <n v="79.34"/>
        <n v="136.5"/>
        <n v="145.35"/>
        <n v="45.79"/>
        <n v="91.85"/>
        <n v="177.45"/>
        <n v="79.31"/>
        <n v="14.36"/>
        <n v="25.72"/>
        <n v="140.77000000000001"/>
        <n v="308.97000000000003"/>
        <n v="198.05"/>
        <n v="45.2"/>
        <n v="73.92"/>
        <n v="276.33"/>
        <n v="30.48"/>
        <n v="639.29"/>
        <n v="308.12"/>
        <n v="116.46"/>
        <n v="268.12"/>
        <n v="246.26"/>
        <n v="20.02"/>
        <n v="393.61"/>
        <n v="220.24"/>
        <n v="256.87"/>
        <n v="535.87"/>
        <n v="61.2"/>
        <n v="335.56"/>
        <n v="103.76"/>
        <n v="133.29"/>
        <n v="51.78"/>
        <n v="77.92"/>
        <n v="330.43"/>
        <n v="113.59"/>
        <n v="14.4"/>
        <n v="102.26"/>
        <n v="270.97000000000003"/>
        <n v="281.27"/>
        <n v="408.15"/>
        <n v="120.71"/>
        <n v="137.4"/>
        <n v="548.23"/>
        <n v="361.81"/>
        <n v="217.49"/>
        <n v="164.97"/>
        <n v="485.83"/>
        <n v="343.58"/>
        <n v="120.7"/>
        <n v="121.54"/>
        <n v="365.13"/>
        <n v="10.38"/>
        <n v="404.06"/>
        <n v="311.60000000000002"/>
        <n v="117.4"/>
        <n v="63.57"/>
        <n v="434.74"/>
        <n v="48.12"/>
        <n v="4.68"/>
        <n v="341.49"/>
        <n v="61.65"/>
        <n v="12.72"/>
        <n v="107.55"/>
        <n v="225.86"/>
        <n v="174.34"/>
        <n v="25.98"/>
        <n v="62.74"/>
        <n v="23.98"/>
        <n v="549.66999999999996"/>
        <n v="59.12"/>
        <n v="445.51"/>
        <n v="270.43"/>
        <n v="54.21"/>
        <n v="473.66"/>
        <n v="65.19"/>
        <n v="91.02"/>
        <n v="69.260000000000005"/>
        <n v="246.98"/>
        <n v="301.29000000000002"/>
        <n v="418.45"/>
        <n v="165.58"/>
        <n v="10.51"/>
        <n v="462.72"/>
        <n v="6.94"/>
        <n v="395.73"/>
        <n v="503.33"/>
        <n v="403.05"/>
        <n v="27.18"/>
        <n v="49.1"/>
        <n v="264.39999999999998"/>
        <n v="262.64"/>
        <n v="59.67"/>
        <n v="171.14"/>
        <n v="88.9"/>
        <n v="176.87"/>
        <n v="191.58"/>
        <n v="44.2"/>
        <n v="96.55"/>
        <n v="275.33"/>
        <n v="85.53"/>
        <n v="86.73"/>
        <n v="345.39"/>
        <n v="295.07"/>
        <n v="91.34"/>
        <n v="32.049999999999997"/>
        <n v="37.51"/>
        <n v="290.32"/>
        <n v="93.43"/>
        <n v="200.76"/>
        <n v="56.79"/>
        <n v="28.79"/>
        <n v="50.55"/>
        <n v="468.9"/>
        <n v="447.98"/>
        <n v="201.71"/>
        <n v="283.42"/>
        <n v="77.12"/>
        <n v="235.83"/>
        <n v="344.72"/>
        <n v="613.77"/>
        <n v="305.75"/>
        <n v="137.21"/>
      </sharedItems>
    </cacheField>
    <cacheField name="Yield (Kg/Ha)" numFmtId="0">
      <sharedItems containsSemiMixedTypes="0" containsString="0" containsNumber="1" minValue="1015.41" maxValue="6990.6" count="500">
        <n v="1837.23"/>
        <n v="2193.0300000000002"/>
        <n v="3279.56"/>
        <n v="6170.24"/>
        <n v="3188.99"/>
        <n v="6552.35"/>
        <n v="2888.07"/>
        <n v="6386.94"/>
        <n v="3532.96"/>
        <n v="5611.59"/>
        <n v="4833.7"/>
        <n v="6272.33"/>
        <n v="3851.69"/>
        <n v="6970.9"/>
        <n v="1425.96"/>
        <n v="6294.3"/>
        <n v="4920.7299999999996"/>
        <n v="6246.92"/>
        <n v="6187.9"/>
        <n v="1928.78"/>
        <n v="6764.67"/>
        <n v="1491.9"/>
        <n v="6614.41"/>
        <n v="1946.48"/>
        <n v="5454.5"/>
        <n v="2660.08"/>
        <n v="6298.64"/>
        <n v="2497.1799999999998"/>
        <n v="5419.39"/>
        <n v="3761.82"/>
        <n v="3398.07"/>
        <n v="3618.36"/>
        <n v="2182.21"/>
        <n v="3414.4"/>
        <n v="2261.1"/>
        <n v="3011.13"/>
        <n v="4778.59"/>
        <n v="1301.31"/>
        <n v="6352.12"/>
        <n v="2435.48"/>
        <n v="2283.7199999999998"/>
        <n v="1035.3800000000001"/>
        <n v="3333.14"/>
        <n v="3571.68"/>
        <n v="3821.84"/>
        <n v="3841.37"/>
        <n v="1648.59"/>
        <n v="2809.5"/>
        <n v="5933.99"/>
        <n v="4229.04"/>
        <n v="3273.94"/>
        <n v="6688.38"/>
        <n v="2459.83"/>
        <n v="1723.94"/>
        <n v="1603.16"/>
        <n v="1757.68"/>
        <n v="3404.24"/>
        <n v="5744.44"/>
        <n v="1595.4"/>
        <n v="3819.47"/>
        <n v="4267.37"/>
        <n v="5132.07"/>
        <n v="6771.47"/>
        <n v="3615.31"/>
        <n v="3402.71"/>
        <n v="2125.5"/>
        <n v="1173.22"/>
        <n v="3990.25"/>
        <n v="6275.96"/>
        <n v="4479.54"/>
        <n v="3297.83"/>
        <n v="6245.14"/>
        <n v="3384.9"/>
        <n v="5106.3999999999996"/>
        <n v="5776.86"/>
        <n v="2444.98"/>
        <n v="3073.39"/>
        <n v="4448.87"/>
        <n v="3113.93"/>
        <n v="1540.8"/>
        <n v="6665.13"/>
        <n v="6803.62"/>
        <n v="4831.3"/>
        <n v="6456.33"/>
        <n v="3226.07"/>
        <n v="3660.3"/>
        <n v="2272.63"/>
        <n v="2397.9899999999998"/>
        <n v="1154.68"/>
        <n v="1381.35"/>
        <n v="4860.04"/>
        <n v="1394.09"/>
        <n v="5210.68"/>
        <n v="2529.34"/>
        <n v="4518.79"/>
        <n v="1928.38"/>
        <n v="4340.4399999999996"/>
        <n v="5445.81"/>
        <n v="6300.05"/>
        <n v="1682.91"/>
        <n v="6671.94"/>
        <n v="6000.13"/>
        <n v="4840.8500000000004"/>
        <n v="4143.78"/>
        <n v="5657.37"/>
        <n v="6707.75"/>
        <n v="3653.25"/>
        <n v="6185.5"/>
        <n v="4008.2"/>
        <n v="3636.53"/>
        <n v="4347.78"/>
        <n v="5190.88"/>
        <n v="6474.69"/>
        <n v="1825.39"/>
        <n v="1925.52"/>
        <n v="5514.35"/>
        <n v="4017.44"/>
        <n v="4095.46"/>
        <n v="6582.83"/>
        <n v="5748.28"/>
        <n v="6009.78"/>
        <n v="3998.98"/>
        <n v="1513.68"/>
        <n v="3239.81"/>
        <n v="5881.05"/>
        <n v="2196.8200000000002"/>
        <n v="6172.83"/>
        <n v="3985.14"/>
        <n v="2838.98"/>
        <n v="3437.26"/>
        <n v="6696.8"/>
        <n v="2672.14"/>
        <n v="2713.46"/>
        <n v="4299.9799999999996"/>
        <n v="1157.7"/>
        <n v="5614.99"/>
        <n v="5606.69"/>
        <n v="6684.9"/>
        <n v="4483.88"/>
        <n v="2587.94"/>
        <n v="3721.26"/>
        <n v="1784.6"/>
        <n v="6184.98"/>
        <n v="2851.24"/>
        <n v="6057.1"/>
        <n v="4370.8999999999996"/>
        <n v="1580.09"/>
        <n v="5281.55"/>
        <n v="5969.74"/>
        <n v="4581.46"/>
        <n v="5647.64"/>
        <n v="5143"/>
        <n v="3260.95"/>
        <n v="6648.91"/>
        <n v="4259.1499999999996"/>
        <n v="2212.41"/>
        <n v="1314.95"/>
        <n v="6783.48"/>
        <n v="2054.73"/>
        <n v="3010.25"/>
        <n v="3753.49"/>
        <n v="1520.43"/>
        <n v="5337.3"/>
        <n v="6326.81"/>
        <n v="3241.75"/>
        <n v="1673.25"/>
        <n v="4062.25"/>
        <n v="1018.09"/>
        <n v="1812.57"/>
        <n v="3086.62"/>
        <n v="3544.77"/>
        <n v="1403.75"/>
        <n v="6960.9"/>
        <n v="2650.92"/>
        <n v="2799.33"/>
        <n v="4343.72"/>
        <n v="1309.22"/>
        <n v="6442.2"/>
        <n v="2435.9899999999998"/>
        <n v="5334.48"/>
        <n v="2771.15"/>
        <n v="2009.4"/>
        <n v="5009.29"/>
        <n v="5000.53"/>
        <n v="5878.94"/>
        <n v="2603.9499999999998"/>
        <n v="1561"/>
        <n v="6843.04"/>
        <n v="6572.6"/>
        <n v="6096.65"/>
        <n v="4683.1899999999996"/>
        <n v="4515.25"/>
        <n v="2900.07"/>
        <n v="4074.65"/>
        <n v="4357.22"/>
        <n v="3526.61"/>
        <n v="6692.94"/>
        <n v="2885.1"/>
        <n v="4383.1000000000004"/>
        <n v="1835.07"/>
        <n v="6522.35"/>
        <n v="1998.03"/>
        <n v="4112.79"/>
        <n v="1515.13"/>
        <n v="2801.58"/>
        <n v="6750.78"/>
        <n v="3333.01"/>
        <n v="6175.82"/>
        <n v="4541.01"/>
        <n v="3538.23"/>
        <n v="3154.24"/>
        <n v="3932.2"/>
        <n v="5595.52"/>
        <n v="6938.65"/>
        <n v="2421.6799999999998"/>
        <n v="2686.51"/>
        <n v="6196.47"/>
        <n v="3711.95"/>
        <n v="3750.7"/>
        <n v="1783.57"/>
        <n v="3566.8"/>
        <n v="4753.63"/>
        <n v="1048.3800000000001"/>
        <n v="3205.37"/>
        <n v="3640.6"/>
        <n v="3109.21"/>
        <n v="5142.8599999999997"/>
        <n v="4828.49"/>
        <n v="5576.36"/>
        <n v="3541.45"/>
        <n v="4518.62"/>
        <n v="5450.16"/>
        <n v="1761.58"/>
        <n v="3976.89"/>
        <n v="1015.41"/>
        <n v="2489.58"/>
        <n v="1413.56"/>
        <n v="5437.46"/>
        <n v="4249.2700000000004"/>
        <n v="6835.36"/>
        <n v="4032.57"/>
        <n v="2957.51"/>
        <n v="1724.42"/>
        <n v="2290.12"/>
        <n v="4300.7299999999996"/>
        <n v="4868.1099999999997"/>
        <n v="6544.79"/>
        <n v="1891.79"/>
        <n v="4154.88"/>
        <n v="2913.27"/>
        <n v="2446.92"/>
        <n v="5428.63"/>
        <n v="3942.62"/>
        <n v="6512.68"/>
        <n v="3019.37"/>
        <n v="2339.42"/>
        <n v="2909.3"/>
        <n v="1532.36"/>
        <n v="5395.51"/>
        <n v="2353.5"/>
        <n v="4282.28"/>
        <n v="6846.39"/>
        <n v="3945.69"/>
        <n v="1491.62"/>
        <n v="3216.41"/>
        <n v="5008.8500000000004"/>
        <n v="3857.57"/>
        <n v="6906.21"/>
        <n v="5362.62"/>
        <n v="5690.11"/>
        <n v="6280.81"/>
        <n v="3410.32"/>
        <n v="3949.72"/>
        <n v="3650.3"/>
        <n v="6107.77"/>
        <n v="5941.04"/>
        <n v="1981.08"/>
        <n v="5066.17"/>
        <n v="2832.76"/>
        <n v="1044.0899999999999"/>
        <n v="2566.88"/>
        <n v="4932.3999999999996"/>
        <n v="4207.8100000000004"/>
        <n v="5351.12"/>
        <n v="6107.28"/>
        <n v="3478.64"/>
        <n v="4786.2"/>
        <n v="4800.93"/>
        <n v="1024.74"/>
        <n v="2744.97"/>
        <n v="5363.01"/>
        <n v="6968.08"/>
        <n v="5114.4399999999996"/>
        <n v="1684.08"/>
        <n v="6462.14"/>
        <n v="1607.74"/>
        <n v="2876.24"/>
        <n v="1557.71"/>
        <n v="5358.47"/>
        <n v="5106.78"/>
        <n v="5461.74"/>
        <n v="4982.26"/>
        <n v="2923.8"/>
        <n v="3688.59"/>
        <n v="1545.37"/>
        <n v="4599.71"/>
        <n v="1984.93"/>
        <n v="2143.4699999999998"/>
        <n v="5417.28"/>
        <n v="4636.96"/>
        <n v="4615.1499999999996"/>
        <n v="6527.15"/>
        <n v="4423.83"/>
        <n v="1339.63"/>
        <n v="3715.57"/>
        <n v="5728.67"/>
        <n v="4279.6899999999996"/>
        <n v="3571.05"/>
        <n v="4752.2"/>
        <n v="1956.22"/>
        <n v="4368.01"/>
        <n v="6669.93"/>
        <n v="4909.17"/>
        <n v="2279.0500000000002"/>
        <n v="1325.61"/>
        <n v="5039.79"/>
        <n v="2689.1"/>
        <n v="1864.45"/>
        <n v="2828.15"/>
        <n v="4403.76"/>
        <n v="4483.57"/>
        <n v="5160.75"/>
        <n v="3616.74"/>
        <n v="6050.76"/>
        <n v="2276.56"/>
        <n v="1803.29"/>
        <n v="2074.87"/>
        <n v="2240.64"/>
        <n v="4266.1000000000004"/>
        <n v="6206.32"/>
        <n v="1901.44"/>
        <n v="4544.75"/>
        <n v="2080.23"/>
        <n v="5982.18"/>
        <n v="1413.06"/>
        <n v="4688.49"/>
        <n v="3524.1"/>
        <n v="1803.3"/>
        <n v="1042.68"/>
        <n v="2567.8200000000002"/>
        <n v="3902.56"/>
        <n v="5716.49"/>
        <n v="1480.24"/>
        <n v="1064.26"/>
        <n v="6853.88"/>
        <n v="1541"/>
        <n v="2566.65"/>
        <n v="6796.33"/>
        <n v="4801.97"/>
        <n v="3393.58"/>
        <n v="2198"/>
        <n v="5054.87"/>
        <n v="6906.37"/>
        <n v="5118.03"/>
        <n v="3169.61"/>
        <n v="3233.86"/>
        <n v="3285.3"/>
        <n v="5712"/>
        <n v="5467.56"/>
        <n v="4894.79"/>
        <n v="1869.09"/>
        <n v="2901.27"/>
        <n v="6125.27"/>
        <n v="3382.08"/>
        <n v="1758.47"/>
        <n v="4544.99"/>
        <n v="3194.7"/>
        <n v="6681.75"/>
        <n v="1979.62"/>
        <n v="4890.74"/>
        <n v="2923.86"/>
        <n v="1904.1"/>
        <n v="3354.53"/>
        <n v="6967.21"/>
        <n v="1253.1199999999999"/>
        <n v="5766.34"/>
        <n v="1548.41"/>
        <n v="4350.1000000000004"/>
        <n v="4354.1499999999996"/>
        <n v="3696.31"/>
        <n v="1380.05"/>
        <n v="1400.08"/>
        <n v="5207.88"/>
        <n v="4348.12"/>
        <n v="6763.52"/>
        <n v="5476.65"/>
        <n v="6990.6"/>
        <n v="4378.87"/>
        <n v="4105.66"/>
        <n v="1226.42"/>
        <n v="5341.48"/>
        <n v="5680.73"/>
        <n v="3294.92"/>
        <n v="5517.04"/>
        <n v="1510.47"/>
        <n v="5414.01"/>
        <n v="2924.43"/>
        <n v="1935.95"/>
        <n v="1136.49"/>
        <n v="1110.33"/>
        <n v="4977.8900000000003"/>
        <n v="2118.5"/>
        <n v="5105.87"/>
        <n v="6383.05"/>
        <n v="2975.71"/>
        <n v="6454.01"/>
        <n v="5592.61"/>
        <n v="4402.26"/>
        <n v="2103.86"/>
        <n v="5546.66"/>
        <n v="4647.58"/>
        <n v="2474.33"/>
        <n v="3534.77"/>
        <n v="5176.68"/>
        <n v="5268.82"/>
        <n v="1959.4"/>
        <n v="2857.11"/>
        <n v="4261.01"/>
        <n v="6293.01"/>
        <n v="6028.09"/>
        <n v="4433.7"/>
        <n v="1389.56"/>
        <n v="5378.37"/>
        <n v="4685.74"/>
        <n v="3789.31"/>
        <n v="2207.12"/>
        <n v="4695.96"/>
        <n v="3763.71"/>
        <n v="4464.3900000000003"/>
        <n v="1995.82"/>
        <n v="5976.74"/>
        <n v="1924.47"/>
        <n v="1219.32"/>
        <n v="5597.08"/>
        <n v="1895.92"/>
        <n v="5824.02"/>
        <n v="1516.72"/>
        <n v="5855.8"/>
        <n v="3792.38"/>
        <n v="1181.58"/>
        <n v="5780.55"/>
        <n v="3894.25"/>
        <n v="5017.63"/>
        <n v="5884.4"/>
        <n v="3717.85"/>
        <n v="3065.59"/>
        <n v="5924.52"/>
        <n v="4270.71"/>
        <n v="4890.34"/>
        <n v="5172.34"/>
        <n v="3988.94"/>
        <n v="6770.43"/>
        <n v="6762.47"/>
        <n v="4443.79"/>
        <n v="3838.96"/>
        <n v="5702.58"/>
        <n v="5847.04"/>
        <n v="3477.69"/>
        <n v="3392.47"/>
        <n v="5783.85"/>
        <n v="2602.5300000000002"/>
        <n v="5141.67"/>
        <n v="5351.5"/>
        <n v="4628.1099999999997"/>
        <n v="1454.29"/>
        <n v="6975.75"/>
        <n v="5612.24"/>
        <n v="1112.5899999999999"/>
        <n v="6639.47"/>
        <n v="3153.51"/>
        <n v="4326.8500000000004"/>
        <n v="2158.56"/>
        <n v="5726.67"/>
        <n v="3933.37"/>
        <n v="2024.14"/>
        <n v="2945.41"/>
        <n v="3219.56"/>
        <n v="1534.85"/>
        <n v="2047.29"/>
        <n v="4181.1899999999996"/>
        <n v="6811.44"/>
        <n v="5550.45"/>
        <n v="4478.57"/>
        <n v="3253.19"/>
        <n v="5318.93"/>
        <n v="5562.04"/>
        <n v="6973.99"/>
        <n v="6482.53"/>
        <n v="3714.65"/>
        <n v="2829.02"/>
      </sharedItems>
    </cacheField>
    <cacheField name="Irrigation Type" numFmtId="0">
      <sharedItems count="4">
        <s v="Canal"/>
        <s v="Drip"/>
        <s v="Rainfed"/>
        <s v="Borewell"/>
      </sharedItems>
    </cacheField>
    <cacheField name="Fertilizer Type" numFmtId="0">
      <sharedItems count="5">
        <s v="Urea"/>
        <s v="Compost"/>
        <s v="DAP"/>
        <s v="Vermicompost"/>
        <s v="NPK"/>
      </sharedItems>
    </cacheField>
    <cacheField name="Fertilizer Used (Kg)" numFmtId="0">
      <sharedItems containsSemiMixedTypes="0" containsString="0" containsNumber="1" minValue="51.64" maxValue="299.98"/>
    </cacheField>
    <cacheField name="Rainfall (mm)" numFmtId="0">
      <sharedItems containsSemiMixedTypes="0" containsString="0" containsNumber="1" minValue="201.46" maxValue="1198.45" count="499">
        <n v="1092.18"/>
        <n v="789.27"/>
        <n v="803.73"/>
        <n v="245.82"/>
        <n v="870.18"/>
        <n v="1042.8499999999999"/>
        <n v="1114.55"/>
        <n v="1197.33"/>
        <n v="795.89"/>
        <n v="634.77"/>
        <n v="962.51"/>
        <n v="440.87"/>
        <n v="1072.43"/>
        <n v="717.58"/>
        <n v="1105.42"/>
        <n v="672.97"/>
        <n v="928.21"/>
        <n v="1061.3499999999999"/>
        <n v="202.16"/>
        <n v="258.48"/>
        <n v="268.52"/>
        <n v="404.26"/>
        <n v="1198.45"/>
        <n v="1187.23"/>
        <n v="804.83"/>
        <n v="330.82"/>
        <n v="1034.5999999999999"/>
        <n v="759.88"/>
        <n v="611.71"/>
        <n v="1071.32"/>
        <n v="315.33999999999997"/>
        <n v="776.59"/>
        <n v="864.24"/>
        <n v="391.84"/>
        <n v="642.16"/>
        <n v="424.64"/>
        <n v="583.98"/>
        <n v="321.36"/>
        <n v="747.87"/>
        <n v="485.73"/>
        <n v="742.61"/>
        <n v="589.99"/>
        <n v="1040.51"/>
        <n v="460.16"/>
        <n v="549.96"/>
        <n v="417.96"/>
        <n v="775.8"/>
        <n v="765.93"/>
        <n v="562.19000000000005"/>
        <n v="1025.73"/>
        <n v="525.01"/>
        <n v="606.42999999999995"/>
        <n v="730.92"/>
        <n v="942.88"/>
        <n v="560.88"/>
        <n v="212.27"/>
        <n v="886.45"/>
        <n v="580.38"/>
        <n v="464.65"/>
        <n v="906.96"/>
        <n v="1026.6300000000001"/>
        <n v="700.47"/>
        <n v="872.28"/>
        <n v="670.01"/>
        <n v="514.52"/>
        <n v="698.49"/>
        <n v="510.75"/>
        <n v="473.42"/>
        <n v="990.01"/>
        <n v="646.54999999999995"/>
        <n v="944.71"/>
        <n v="1110.44"/>
        <n v="1052.3399999999999"/>
        <n v="946.77"/>
        <n v="630.69000000000005"/>
        <n v="837.9"/>
        <n v="624.30999999999995"/>
        <n v="1030.04"/>
        <n v="877.76"/>
        <n v="615.5"/>
        <n v="538.72"/>
        <n v="594.57000000000005"/>
        <n v="433.82"/>
        <n v="316.68"/>
        <n v="926.6"/>
        <n v="299.35000000000002"/>
        <n v="533.51"/>
        <n v="795.98"/>
        <n v="988.43"/>
        <n v="713.24"/>
        <n v="678.98"/>
        <n v="785.36"/>
        <n v="1088.0899999999999"/>
        <n v="674.27"/>
        <n v="610.80999999999995"/>
        <n v="308.22000000000003"/>
        <n v="473.27"/>
        <n v="730.48"/>
        <n v="817.84"/>
        <n v="878.22"/>
        <n v="489.45"/>
        <n v="1061.76"/>
        <n v="220.86"/>
        <n v="945.8"/>
        <n v="1018.95"/>
        <n v="763.74"/>
        <n v="791.42"/>
        <n v="707.07"/>
        <n v="1010.97"/>
        <n v="1117.94"/>
        <n v="923.73"/>
        <n v="908.83"/>
        <n v="623.41"/>
        <n v="988.12"/>
        <n v="971.1"/>
        <n v="439.17"/>
        <n v="1016.89"/>
        <n v="963.12"/>
        <n v="702.01"/>
        <n v="1117.4000000000001"/>
        <n v="488.1"/>
        <n v="775.05"/>
        <n v="726.06"/>
        <n v="267.56"/>
        <n v="884.68"/>
        <n v="510.08"/>
        <n v="531.91999999999996"/>
        <n v="927.08"/>
        <n v="643.91"/>
        <n v="342.78"/>
        <n v="879.06"/>
        <n v="386.05"/>
        <n v="335.73"/>
        <n v="1051.3599999999999"/>
        <n v="1183.01"/>
        <n v="517.03"/>
        <n v="1110.71"/>
        <n v="450.61"/>
        <n v="920.63"/>
        <n v="616.59"/>
        <n v="615.62"/>
        <n v="306.18"/>
        <n v="1065.31"/>
        <n v="593.24"/>
        <n v="208.18"/>
        <n v="273.52999999999997"/>
        <n v="539.09"/>
        <n v="348.94"/>
        <n v="499.79"/>
        <n v="982.9"/>
        <n v="880.73"/>
        <n v="811.48"/>
        <n v="733.13"/>
        <n v="904.9"/>
        <n v="1154.6099999999999"/>
        <n v="896.17"/>
        <n v="672.4"/>
        <n v="259.16000000000003"/>
        <n v="596.99"/>
        <n v="743.3"/>
        <n v="214.08"/>
        <n v="340.61"/>
        <n v="559.54999999999995"/>
        <n v="838.71"/>
        <n v="1001.99"/>
        <n v="349.85"/>
        <n v="713.25"/>
        <n v="245.29"/>
        <n v="1091.33"/>
        <n v="593.05999999999995"/>
        <n v="447.51"/>
        <n v="872.02"/>
        <n v="931.52"/>
        <n v="627.20000000000005"/>
        <n v="673.52"/>
        <n v="455"/>
        <n v="802.92"/>
        <n v="215.33"/>
        <n v="580.66"/>
        <n v="570.70000000000005"/>
        <n v="579.84"/>
        <n v="920.31"/>
        <n v="1042.54"/>
        <n v="215.73"/>
        <n v="1109.77"/>
        <n v="1159.3"/>
        <n v="676.01"/>
        <n v="1101.27"/>
        <n v="407.16"/>
        <n v="939.75"/>
        <n v="526.38"/>
        <n v="818.62"/>
        <n v="1142.96"/>
        <n v="553.91"/>
        <n v="369.58"/>
        <n v="561.12"/>
        <n v="579.89"/>
        <n v="491.45"/>
        <n v="750.1"/>
        <n v="858.66"/>
        <n v="990.72"/>
        <n v="845.03"/>
        <n v="591.13"/>
        <n v="543.07000000000005"/>
        <n v="543.08000000000004"/>
        <n v="829.76"/>
        <n v="952.33"/>
        <n v="811.31"/>
        <n v="438.57"/>
        <n v="893.43"/>
        <n v="395.13"/>
        <n v="995.88"/>
        <n v="467.89"/>
        <n v="853.67"/>
        <n v="810.26"/>
        <n v="904.05"/>
        <n v="522.1"/>
        <n v="949.8"/>
        <n v="995.68"/>
        <n v="1094.1500000000001"/>
        <n v="501.87"/>
        <n v="291.2"/>
        <n v="1188.1500000000001"/>
        <n v="973.46"/>
        <n v="351.37"/>
        <n v="339.83"/>
        <n v="806.93"/>
        <n v="1177.7"/>
        <n v="267.52999999999997"/>
        <n v="736.56"/>
        <n v="637.49"/>
        <n v="907.9"/>
        <n v="318.06"/>
        <n v="1059.3599999999999"/>
        <n v="671.76"/>
        <n v="277.89"/>
        <n v="973.53"/>
        <n v="791.69"/>
        <n v="201.46"/>
        <n v="293.02999999999997"/>
        <n v="767.82"/>
        <n v="274.69"/>
        <n v="407.64"/>
        <n v="911.16"/>
        <n v="1003.9"/>
        <n v="274.99"/>
        <n v="595"/>
        <n v="698.89"/>
        <n v="981.92"/>
        <n v="1010.69"/>
        <n v="1147.8"/>
        <n v="228.21"/>
        <n v="801.66"/>
        <n v="347.71"/>
        <n v="357.5"/>
        <n v="933.99"/>
        <n v="304.11"/>
        <n v="465.21"/>
        <n v="693.08"/>
        <n v="1045.76"/>
        <n v="1185.28"/>
        <n v="922.04"/>
        <n v="627.61"/>
        <n v="597.47"/>
        <n v="639.74"/>
        <n v="789.73"/>
        <n v="1053.94"/>
        <n v="326.19"/>
        <n v="756.36"/>
        <n v="348.2"/>
        <n v="854.79"/>
        <n v="531.49"/>
        <n v="427.96"/>
        <n v="959.49"/>
        <n v="1075.18"/>
        <n v="323.87"/>
        <n v="888.85"/>
        <n v="713.28"/>
        <n v="576.48"/>
        <n v="793.77"/>
        <n v="717.29"/>
        <n v="618.57000000000005"/>
        <n v="871.87"/>
        <n v="1099.5899999999999"/>
        <n v="834.4"/>
        <n v="400.3"/>
        <n v="258.01"/>
        <n v="677.4"/>
        <n v="1076.99"/>
        <n v="886.78"/>
        <n v="221.91"/>
        <n v="219.74"/>
        <n v="861.66"/>
        <n v="809"/>
        <n v="202.74"/>
        <n v="656.75"/>
        <n v="958.2"/>
        <n v="600.78"/>
        <n v="1111.23"/>
        <n v="688.12"/>
        <n v="869.84"/>
        <n v="1026.44"/>
        <n v="250.35"/>
        <n v="318.70999999999998"/>
        <n v="762.33"/>
        <n v="314.02"/>
        <n v="942.51"/>
        <n v="614.47"/>
        <n v="682.93"/>
        <n v="584.66"/>
        <n v="747.81"/>
        <n v="850.09"/>
        <n v="1093.8699999999999"/>
        <n v="360.94"/>
        <n v="761.27"/>
        <n v="253.8"/>
        <n v="1164.29"/>
        <n v="783.99"/>
        <n v="772.68"/>
        <n v="421.2"/>
        <n v="546.01"/>
        <n v="923.98"/>
        <n v="1148.21"/>
        <n v="405.58"/>
        <n v="774.96"/>
        <n v="818.35"/>
        <n v="1022.12"/>
        <n v="211.15"/>
        <n v="1105.6300000000001"/>
        <n v="1132.3699999999999"/>
        <n v="871.3"/>
        <n v="564.49"/>
        <n v="932.97"/>
        <n v="396.43"/>
        <n v="743.47"/>
        <n v="702.17"/>
        <n v="683.5"/>
        <n v="1117.9000000000001"/>
        <n v="578.52"/>
        <n v="1087.17"/>
        <n v="917.3"/>
        <n v="243.14"/>
        <n v="763.6"/>
        <n v="1020.45"/>
        <n v="308.57"/>
        <n v="731.43"/>
        <n v="628.96"/>
        <n v="1110.0899999999999"/>
        <n v="575.03"/>
        <n v="811.88"/>
        <n v="974.19"/>
        <n v="1164.57"/>
        <n v="1130.68"/>
        <n v="983.96"/>
        <n v="979.67"/>
        <n v="759.11"/>
        <n v="758.63"/>
        <n v="957.47"/>
        <n v="429.93"/>
        <n v="1131.4000000000001"/>
        <n v="406.78"/>
        <n v="964.24"/>
        <n v="950.17"/>
        <n v="320.37"/>
        <n v="462.85"/>
        <n v="379.89"/>
        <n v="938.54"/>
        <n v="1058.5"/>
        <n v="760.35"/>
        <n v="484.61"/>
        <n v="1128.57"/>
        <n v="805.38"/>
        <n v="862.02"/>
        <n v="818.1"/>
        <n v="863.55"/>
        <n v="835.85"/>
        <n v="210.56"/>
        <n v="965.87"/>
        <n v="420.59"/>
        <n v="1053.48"/>
        <n v="734.97"/>
        <n v="620.24"/>
        <n v="1095.7"/>
        <n v="971"/>
        <n v="838.52"/>
        <n v="443.09"/>
        <n v="1196.97"/>
        <n v="638.72"/>
        <n v="386.63"/>
        <n v="654.08000000000004"/>
        <n v="883.22"/>
        <n v="231.27"/>
        <n v="420.72"/>
        <n v="994.25"/>
        <n v="431.02"/>
        <n v="902.55"/>
        <n v="1102.48"/>
        <n v="750.24"/>
        <n v="1184.3900000000001"/>
        <n v="464.99"/>
        <n v="1025.71"/>
        <n v="1017.14"/>
        <n v="519.32000000000005"/>
        <n v="489.78"/>
        <n v="330.38"/>
        <n v="466.26"/>
        <n v="369.26"/>
        <n v="254.54"/>
        <n v="411.88"/>
        <n v="260.11"/>
        <n v="219.08"/>
        <n v="912.47"/>
        <n v="436.2"/>
        <n v="582.21"/>
        <n v="338.58"/>
        <n v="764.84"/>
        <n v="503.35"/>
        <n v="430.91"/>
        <n v="337.51"/>
        <n v="1154.7"/>
        <n v="594.15"/>
        <n v="239.25"/>
        <n v="1103.68"/>
        <n v="523.46"/>
        <n v="323.54000000000002"/>
        <n v="370.88"/>
        <n v="380.7"/>
        <n v="693.47"/>
        <n v="757.55"/>
        <n v="287.7"/>
        <n v="949.33"/>
        <n v="894.62"/>
        <n v="888.65"/>
        <n v="831.86"/>
        <n v="407.33"/>
        <n v="267.83999999999997"/>
        <n v="394.02"/>
        <n v="1014.17"/>
        <n v="1088.03"/>
        <n v="316.83999999999997"/>
        <n v="502.32"/>
        <n v="932.44"/>
        <n v="722.34"/>
        <n v="958.49"/>
        <n v="1158.3"/>
        <n v="511.38"/>
        <n v="796.12"/>
        <n v="955.74"/>
        <n v="343.72"/>
        <n v="678.65"/>
        <n v="270.92"/>
        <n v="1013.92"/>
        <n v="796.08"/>
        <n v="844.99"/>
        <n v="777.93"/>
        <n v="811.49"/>
        <n v="482.21"/>
        <n v="388.23"/>
        <n v="686.7"/>
        <n v="654.39"/>
        <n v="469.25"/>
        <n v="931.29"/>
        <n v="739.2"/>
        <n v="1160.58"/>
        <n v="856.32"/>
        <n v="480.97"/>
        <n v="640.19000000000005"/>
        <n v="1148.25"/>
        <n v="1161.76"/>
        <n v="784.18"/>
        <n v="210.58"/>
        <n v="223.7"/>
        <n v="1099.9000000000001"/>
        <n v="476.38"/>
        <n v="464.66"/>
        <n v="306.25"/>
        <n v="840.34"/>
        <n v="603.91"/>
        <n v="832.27"/>
        <n v="498.87"/>
        <n v="262.99"/>
        <n v="411.68"/>
        <n v="1118.02"/>
        <n v="306.33"/>
        <n v="1164.69"/>
        <n v="1125.68"/>
        <n v="1007.41"/>
        <n v="917.2"/>
        <n v="1062.73"/>
        <n v="359.76"/>
        <n v="252.46"/>
        <n v="876.85"/>
        <n v="785.09"/>
        <n v="402.21"/>
        <n v="803.64"/>
        <n v="479.17"/>
        <n v="244.22"/>
        <n v="953.08"/>
        <n v="947.29"/>
      </sharedItems>
    </cacheField>
    <cacheField name="Soil Type" numFmtId="0">
      <sharedItems count="5">
        <s v="Black"/>
        <s v="Red"/>
        <s v="Laterite"/>
        <s v="Sandy"/>
        <s v="Alluvial"/>
      </sharedItems>
    </cacheField>
    <cacheField name="Temperature (Celsius)" numFmtId="0">
      <sharedItems containsSemiMixedTypes="0" containsString="0" containsNumber="1" minValue="20.02" maxValue="34.979999999999997"/>
    </cacheField>
  </cacheFields>
  <extLst>
    <ext xmlns:x14="http://schemas.microsoft.com/office/spreadsheetml/2009/9/main" uri="{725AE2AE-9491-48be-B2B4-4EB974FC3084}">
      <x14:pivotCacheDefinition pivotCacheId="2119177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
    <x v="0"/>
    <x v="0"/>
    <x v="0"/>
    <x v="0"/>
    <x v="0"/>
    <x v="0"/>
    <n v="25.24"/>
    <x v="0"/>
    <x v="0"/>
    <x v="0"/>
    <x v="0"/>
    <n v="219.17"/>
    <x v="0"/>
    <x v="0"/>
    <n v="28.86"/>
  </r>
  <r>
    <s v="CID2"/>
    <x v="1"/>
    <x v="1"/>
    <x v="1"/>
    <x v="1"/>
    <x v="0"/>
    <x v="1"/>
    <n v="3.63"/>
    <x v="1"/>
    <x v="1"/>
    <x v="1"/>
    <x v="1"/>
    <n v="105.11"/>
    <x v="1"/>
    <x v="0"/>
    <n v="31.38"/>
  </r>
  <r>
    <s v="CID3"/>
    <x v="2"/>
    <x v="2"/>
    <x v="2"/>
    <x v="2"/>
    <x v="1"/>
    <x v="0"/>
    <n v="11.12"/>
    <x v="2"/>
    <x v="2"/>
    <x v="2"/>
    <x v="0"/>
    <n v="261.87"/>
    <x v="2"/>
    <x v="0"/>
    <n v="30.95"/>
  </r>
  <r>
    <s v="CID4"/>
    <x v="3"/>
    <x v="3"/>
    <x v="3"/>
    <x v="3"/>
    <x v="2"/>
    <x v="2"/>
    <n v="62.23"/>
    <x v="3"/>
    <x v="3"/>
    <x v="3"/>
    <x v="2"/>
    <n v="226.14"/>
    <x v="3"/>
    <x v="1"/>
    <n v="31.6"/>
  </r>
  <r>
    <s v="CID5"/>
    <x v="4"/>
    <x v="4"/>
    <x v="4"/>
    <x v="4"/>
    <x v="2"/>
    <x v="3"/>
    <n v="63.93"/>
    <x v="4"/>
    <x v="4"/>
    <x v="2"/>
    <x v="3"/>
    <n v="138.82"/>
    <x v="4"/>
    <x v="0"/>
    <n v="29.14"/>
  </r>
  <r>
    <s v="CID6"/>
    <x v="5"/>
    <x v="2"/>
    <x v="0"/>
    <x v="0"/>
    <x v="2"/>
    <x v="3"/>
    <n v="27.72"/>
    <x v="5"/>
    <x v="5"/>
    <x v="3"/>
    <x v="4"/>
    <n v="221.15"/>
    <x v="5"/>
    <x v="0"/>
    <n v="23.44"/>
  </r>
  <r>
    <s v="CID7"/>
    <x v="6"/>
    <x v="5"/>
    <x v="3"/>
    <x v="5"/>
    <x v="1"/>
    <x v="1"/>
    <n v="87.76"/>
    <x v="6"/>
    <x v="6"/>
    <x v="1"/>
    <x v="2"/>
    <n v="148.91"/>
    <x v="6"/>
    <x v="2"/>
    <n v="22.14"/>
  </r>
  <r>
    <s v="CID8"/>
    <x v="7"/>
    <x v="3"/>
    <x v="0"/>
    <x v="6"/>
    <x v="2"/>
    <x v="2"/>
    <n v="58.87"/>
    <x v="7"/>
    <x v="7"/>
    <x v="1"/>
    <x v="0"/>
    <n v="140.5"/>
    <x v="7"/>
    <x v="1"/>
    <n v="27.64"/>
  </r>
  <r>
    <s v="CID9"/>
    <x v="8"/>
    <x v="2"/>
    <x v="4"/>
    <x v="4"/>
    <x v="0"/>
    <x v="4"/>
    <n v="79.42"/>
    <x v="8"/>
    <x v="8"/>
    <x v="0"/>
    <x v="0"/>
    <n v="146.19"/>
    <x v="8"/>
    <x v="2"/>
    <n v="27.94"/>
  </r>
  <r>
    <s v="CID10"/>
    <x v="9"/>
    <x v="5"/>
    <x v="0"/>
    <x v="6"/>
    <x v="0"/>
    <x v="1"/>
    <n v="75.34"/>
    <x v="9"/>
    <x v="9"/>
    <x v="2"/>
    <x v="4"/>
    <n v="77.89"/>
    <x v="9"/>
    <x v="2"/>
    <n v="20.05"/>
  </r>
  <r>
    <s v="CID11"/>
    <x v="10"/>
    <x v="3"/>
    <x v="5"/>
    <x v="7"/>
    <x v="1"/>
    <x v="2"/>
    <n v="30.55"/>
    <x v="10"/>
    <x v="10"/>
    <x v="3"/>
    <x v="0"/>
    <n v="88.21"/>
    <x v="10"/>
    <x v="3"/>
    <n v="34.299999999999997"/>
  </r>
  <r>
    <s v="CID12"/>
    <x v="11"/>
    <x v="6"/>
    <x v="5"/>
    <x v="8"/>
    <x v="1"/>
    <x v="5"/>
    <n v="92.98"/>
    <x v="11"/>
    <x v="11"/>
    <x v="2"/>
    <x v="1"/>
    <n v="109.86"/>
    <x v="11"/>
    <x v="3"/>
    <n v="34.200000000000003"/>
  </r>
  <r>
    <s v="CID13"/>
    <x v="12"/>
    <x v="7"/>
    <x v="4"/>
    <x v="4"/>
    <x v="0"/>
    <x v="4"/>
    <n v="13.71"/>
    <x v="12"/>
    <x v="12"/>
    <x v="3"/>
    <x v="3"/>
    <n v="116.26"/>
    <x v="12"/>
    <x v="2"/>
    <n v="34.47"/>
  </r>
  <r>
    <s v="CID14"/>
    <x v="13"/>
    <x v="8"/>
    <x v="4"/>
    <x v="9"/>
    <x v="1"/>
    <x v="2"/>
    <n v="31.86"/>
    <x v="13"/>
    <x v="13"/>
    <x v="2"/>
    <x v="4"/>
    <n v="159.53"/>
    <x v="13"/>
    <x v="0"/>
    <n v="23.72"/>
  </r>
  <r>
    <s v="CID15"/>
    <x v="14"/>
    <x v="3"/>
    <x v="1"/>
    <x v="10"/>
    <x v="1"/>
    <x v="1"/>
    <n v="22.8"/>
    <x v="14"/>
    <x v="14"/>
    <x v="0"/>
    <x v="4"/>
    <n v="107.24"/>
    <x v="14"/>
    <x v="4"/>
    <n v="21.06"/>
  </r>
  <r>
    <s v="CID16"/>
    <x v="15"/>
    <x v="1"/>
    <x v="0"/>
    <x v="11"/>
    <x v="0"/>
    <x v="4"/>
    <n v="72.61"/>
    <x v="15"/>
    <x v="15"/>
    <x v="1"/>
    <x v="1"/>
    <n v="110.75"/>
    <x v="15"/>
    <x v="2"/>
    <n v="22.86"/>
  </r>
  <r>
    <s v="CID17"/>
    <x v="16"/>
    <x v="4"/>
    <x v="2"/>
    <x v="2"/>
    <x v="2"/>
    <x v="2"/>
    <n v="6.36"/>
    <x v="16"/>
    <x v="16"/>
    <x v="0"/>
    <x v="3"/>
    <n v="65.150000000000006"/>
    <x v="16"/>
    <x v="0"/>
    <n v="23.73"/>
  </r>
  <r>
    <s v="CID18"/>
    <x v="17"/>
    <x v="4"/>
    <x v="3"/>
    <x v="3"/>
    <x v="1"/>
    <x v="0"/>
    <n v="46.8"/>
    <x v="17"/>
    <x v="17"/>
    <x v="0"/>
    <x v="0"/>
    <n v="160.78"/>
    <x v="17"/>
    <x v="3"/>
    <n v="21.47"/>
  </r>
  <r>
    <s v="CID19"/>
    <x v="18"/>
    <x v="2"/>
    <x v="1"/>
    <x v="1"/>
    <x v="2"/>
    <x v="3"/>
    <n v="48.65"/>
    <x v="18"/>
    <x v="18"/>
    <x v="0"/>
    <x v="4"/>
    <n v="91.16"/>
    <x v="18"/>
    <x v="2"/>
    <n v="23.98"/>
  </r>
  <r>
    <s v="CID20"/>
    <x v="19"/>
    <x v="8"/>
    <x v="3"/>
    <x v="12"/>
    <x v="0"/>
    <x v="2"/>
    <n v="72.12"/>
    <x v="19"/>
    <x v="19"/>
    <x v="2"/>
    <x v="0"/>
    <n v="104.43"/>
    <x v="19"/>
    <x v="3"/>
    <n v="20.91"/>
  </r>
  <r>
    <s v="CID21"/>
    <x v="20"/>
    <x v="6"/>
    <x v="1"/>
    <x v="10"/>
    <x v="0"/>
    <x v="1"/>
    <n v="16.59"/>
    <x v="20"/>
    <x v="20"/>
    <x v="0"/>
    <x v="1"/>
    <n v="262.83999999999997"/>
    <x v="20"/>
    <x v="0"/>
    <n v="30.13"/>
  </r>
  <r>
    <s v="CID22"/>
    <x v="21"/>
    <x v="1"/>
    <x v="1"/>
    <x v="10"/>
    <x v="0"/>
    <x v="1"/>
    <n v="4.93"/>
    <x v="21"/>
    <x v="21"/>
    <x v="2"/>
    <x v="2"/>
    <n v="283.68"/>
    <x v="21"/>
    <x v="4"/>
    <n v="23.58"/>
  </r>
  <r>
    <s v="CID23"/>
    <x v="22"/>
    <x v="9"/>
    <x v="0"/>
    <x v="6"/>
    <x v="2"/>
    <x v="0"/>
    <n v="92.97"/>
    <x v="22"/>
    <x v="22"/>
    <x v="0"/>
    <x v="3"/>
    <n v="164.57"/>
    <x v="22"/>
    <x v="0"/>
    <n v="21.1"/>
  </r>
  <r>
    <s v="CID24"/>
    <x v="23"/>
    <x v="10"/>
    <x v="2"/>
    <x v="13"/>
    <x v="1"/>
    <x v="4"/>
    <n v="37.58"/>
    <x v="23"/>
    <x v="23"/>
    <x v="2"/>
    <x v="4"/>
    <n v="202.92"/>
    <x v="23"/>
    <x v="3"/>
    <n v="20.12"/>
  </r>
  <r>
    <s v="CID25"/>
    <x v="24"/>
    <x v="2"/>
    <x v="0"/>
    <x v="0"/>
    <x v="2"/>
    <x v="5"/>
    <n v="89.08"/>
    <x v="24"/>
    <x v="24"/>
    <x v="3"/>
    <x v="3"/>
    <n v="118.09"/>
    <x v="24"/>
    <x v="4"/>
    <n v="23.05"/>
  </r>
  <r>
    <s v="CID26"/>
    <x v="25"/>
    <x v="0"/>
    <x v="3"/>
    <x v="5"/>
    <x v="1"/>
    <x v="2"/>
    <n v="42.93"/>
    <x v="25"/>
    <x v="25"/>
    <x v="0"/>
    <x v="3"/>
    <n v="133.38999999999999"/>
    <x v="25"/>
    <x v="4"/>
    <n v="22.42"/>
  </r>
  <r>
    <s v="CID27"/>
    <x v="26"/>
    <x v="3"/>
    <x v="0"/>
    <x v="11"/>
    <x v="1"/>
    <x v="5"/>
    <n v="8.4499999999999993"/>
    <x v="26"/>
    <x v="26"/>
    <x v="3"/>
    <x v="2"/>
    <n v="186.4"/>
    <x v="26"/>
    <x v="3"/>
    <n v="28.29"/>
  </r>
  <r>
    <s v="CID28"/>
    <x v="27"/>
    <x v="10"/>
    <x v="1"/>
    <x v="14"/>
    <x v="1"/>
    <x v="0"/>
    <n v="21.8"/>
    <x v="27"/>
    <x v="27"/>
    <x v="0"/>
    <x v="2"/>
    <n v="138.41999999999999"/>
    <x v="27"/>
    <x v="2"/>
    <n v="34.61"/>
  </r>
  <r>
    <s v="CID29"/>
    <x v="28"/>
    <x v="7"/>
    <x v="4"/>
    <x v="4"/>
    <x v="1"/>
    <x v="3"/>
    <n v="3.45"/>
    <x v="28"/>
    <x v="28"/>
    <x v="2"/>
    <x v="1"/>
    <n v="245.6"/>
    <x v="28"/>
    <x v="1"/>
    <n v="24"/>
  </r>
  <r>
    <s v="CID30"/>
    <x v="29"/>
    <x v="6"/>
    <x v="4"/>
    <x v="4"/>
    <x v="1"/>
    <x v="4"/>
    <n v="81.84"/>
    <x v="29"/>
    <x v="29"/>
    <x v="2"/>
    <x v="1"/>
    <n v="255.13"/>
    <x v="29"/>
    <x v="1"/>
    <n v="20.350000000000001"/>
  </r>
  <r>
    <s v="CID31"/>
    <x v="30"/>
    <x v="5"/>
    <x v="2"/>
    <x v="2"/>
    <x v="2"/>
    <x v="0"/>
    <n v="64.510000000000005"/>
    <x v="30"/>
    <x v="30"/>
    <x v="2"/>
    <x v="0"/>
    <n v="284.81"/>
    <x v="30"/>
    <x v="4"/>
    <n v="22.68"/>
  </r>
  <r>
    <s v="CID32"/>
    <x v="31"/>
    <x v="4"/>
    <x v="1"/>
    <x v="10"/>
    <x v="2"/>
    <x v="2"/>
    <n v="78.86"/>
    <x v="31"/>
    <x v="31"/>
    <x v="0"/>
    <x v="0"/>
    <n v="146.30000000000001"/>
    <x v="31"/>
    <x v="4"/>
    <n v="20.67"/>
  </r>
  <r>
    <s v="CID33"/>
    <x v="32"/>
    <x v="11"/>
    <x v="5"/>
    <x v="15"/>
    <x v="0"/>
    <x v="2"/>
    <n v="73.97"/>
    <x v="32"/>
    <x v="32"/>
    <x v="1"/>
    <x v="0"/>
    <n v="67.489999999999995"/>
    <x v="32"/>
    <x v="4"/>
    <n v="29.35"/>
  </r>
  <r>
    <s v="CID34"/>
    <x v="33"/>
    <x v="3"/>
    <x v="0"/>
    <x v="11"/>
    <x v="2"/>
    <x v="2"/>
    <n v="41.43"/>
    <x v="33"/>
    <x v="33"/>
    <x v="2"/>
    <x v="3"/>
    <n v="188.6"/>
    <x v="33"/>
    <x v="2"/>
    <n v="30.16"/>
  </r>
  <r>
    <s v="CID35"/>
    <x v="34"/>
    <x v="4"/>
    <x v="5"/>
    <x v="8"/>
    <x v="0"/>
    <x v="5"/>
    <n v="31.08"/>
    <x v="34"/>
    <x v="34"/>
    <x v="2"/>
    <x v="2"/>
    <n v="166.25"/>
    <x v="34"/>
    <x v="1"/>
    <n v="27.67"/>
  </r>
  <r>
    <s v="CID36"/>
    <x v="35"/>
    <x v="9"/>
    <x v="0"/>
    <x v="0"/>
    <x v="0"/>
    <x v="2"/>
    <n v="63.66"/>
    <x v="35"/>
    <x v="35"/>
    <x v="3"/>
    <x v="2"/>
    <n v="218.2"/>
    <x v="35"/>
    <x v="1"/>
    <n v="22.21"/>
  </r>
  <r>
    <s v="CID37"/>
    <x v="36"/>
    <x v="7"/>
    <x v="3"/>
    <x v="12"/>
    <x v="1"/>
    <x v="3"/>
    <n v="42.03"/>
    <x v="36"/>
    <x v="36"/>
    <x v="3"/>
    <x v="0"/>
    <n v="229.59"/>
    <x v="36"/>
    <x v="2"/>
    <n v="23.66"/>
  </r>
  <r>
    <s v="CID38"/>
    <x v="37"/>
    <x v="1"/>
    <x v="4"/>
    <x v="16"/>
    <x v="1"/>
    <x v="2"/>
    <n v="52.28"/>
    <x v="37"/>
    <x v="37"/>
    <x v="3"/>
    <x v="3"/>
    <n v="279.37"/>
    <x v="37"/>
    <x v="1"/>
    <n v="32.020000000000003"/>
  </r>
  <r>
    <s v="CID39"/>
    <x v="38"/>
    <x v="7"/>
    <x v="5"/>
    <x v="8"/>
    <x v="2"/>
    <x v="1"/>
    <n v="81.69"/>
    <x v="38"/>
    <x v="38"/>
    <x v="1"/>
    <x v="1"/>
    <n v="257.64"/>
    <x v="38"/>
    <x v="1"/>
    <n v="31.15"/>
  </r>
  <r>
    <s v="CID40"/>
    <x v="39"/>
    <x v="11"/>
    <x v="2"/>
    <x v="13"/>
    <x v="2"/>
    <x v="1"/>
    <n v="48.98"/>
    <x v="39"/>
    <x v="39"/>
    <x v="1"/>
    <x v="0"/>
    <n v="69.37"/>
    <x v="39"/>
    <x v="4"/>
    <n v="25.04"/>
  </r>
  <r>
    <s v="CID41"/>
    <x v="40"/>
    <x v="1"/>
    <x v="6"/>
    <x v="17"/>
    <x v="2"/>
    <x v="2"/>
    <n v="16.13"/>
    <x v="40"/>
    <x v="40"/>
    <x v="1"/>
    <x v="1"/>
    <n v="151.9"/>
    <x v="40"/>
    <x v="2"/>
    <n v="20.93"/>
  </r>
  <r>
    <s v="CID42"/>
    <x v="41"/>
    <x v="8"/>
    <x v="4"/>
    <x v="9"/>
    <x v="1"/>
    <x v="1"/>
    <n v="38.659999999999997"/>
    <x v="41"/>
    <x v="41"/>
    <x v="2"/>
    <x v="3"/>
    <n v="124.65"/>
    <x v="41"/>
    <x v="2"/>
    <n v="28.07"/>
  </r>
  <r>
    <s v="CID43"/>
    <x v="42"/>
    <x v="1"/>
    <x v="6"/>
    <x v="18"/>
    <x v="2"/>
    <x v="3"/>
    <n v="49.08"/>
    <x v="42"/>
    <x v="42"/>
    <x v="1"/>
    <x v="0"/>
    <n v="231.05"/>
    <x v="42"/>
    <x v="1"/>
    <n v="34.71"/>
  </r>
  <r>
    <s v="CID44"/>
    <x v="43"/>
    <x v="12"/>
    <x v="3"/>
    <x v="12"/>
    <x v="0"/>
    <x v="5"/>
    <n v="9.31"/>
    <x v="43"/>
    <x v="43"/>
    <x v="1"/>
    <x v="4"/>
    <n v="95.43"/>
    <x v="43"/>
    <x v="4"/>
    <n v="23.17"/>
  </r>
  <r>
    <s v="CID45"/>
    <x v="44"/>
    <x v="9"/>
    <x v="4"/>
    <x v="16"/>
    <x v="2"/>
    <x v="0"/>
    <n v="83.66"/>
    <x v="44"/>
    <x v="44"/>
    <x v="0"/>
    <x v="0"/>
    <n v="299.98"/>
    <x v="44"/>
    <x v="0"/>
    <n v="31.72"/>
  </r>
  <r>
    <s v="CID46"/>
    <x v="45"/>
    <x v="0"/>
    <x v="6"/>
    <x v="17"/>
    <x v="0"/>
    <x v="4"/>
    <n v="24.62"/>
    <x v="45"/>
    <x v="45"/>
    <x v="0"/>
    <x v="3"/>
    <n v="190.99"/>
    <x v="45"/>
    <x v="4"/>
    <n v="31.5"/>
  </r>
  <r>
    <s v="CID47"/>
    <x v="46"/>
    <x v="8"/>
    <x v="5"/>
    <x v="15"/>
    <x v="1"/>
    <x v="4"/>
    <n v="96.51"/>
    <x v="46"/>
    <x v="46"/>
    <x v="0"/>
    <x v="0"/>
    <n v="282.22000000000003"/>
    <x v="46"/>
    <x v="2"/>
    <n v="25.95"/>
  </r>
  <r>
    <s v="CID48"/>
    <x v="47"/>
    <x v="11"/>
    <x v="5"/>
    <x v="15"/>
    <x v="1"/>
    <x v="5"/>
    <n v="70.02"/>
    <x v="47"/>
    <x v="47"/>
    <x v="0"/>
    <x v="4"/>
    <n v="249.06"/>
    <x v="47"/>
    <x v="0"/>
    <n v="25.21"/>
  </r>
  <r>
    <s v="CID49"/>
    <x v="48"/>
    <x v="11"/>
    <x v="1"/>
    <x v="10"/>
    <x v="2"/>
    <x v="5"/>
    <n v="85.11"/>
    <x v="48"/>
    <x v="48"/>
    <x v="0"/>
    <x v="2"/>
    <n v="158.38"/>
    <x v="48"/>
    <x v="2"/>
    <n v="30.61"/>
  </r>
  <r>
    <s v="CID50"/>
    <x v="49"/>
    <x v="11"/>
    <x v="0"/>
    <x v="6"/>
    <x v="2"/>
    <x v="1"/>
    <n v="81.010000000000005"/>
    <x v="49"/>
    <x v="49"/>
    <x v="1"/>
    <x v="0"/>
    <n v="166.22"/>
    <x v="49"/>
    <x v="3"/>
    <n v="24.03"/>
  </r>
  <r>
    <s v="CID51"/>
    <x v="50"/>
    <x v="1"/>
    <x v="2"/>
    <x v="2"/>
    <x v="2"/>
    <x v="1"/>
    <n v="61.42"/>
    <x v="50"/>
    <x v="50"/>
    <x v="0"/>
    <x v="4"/>
    <n v="173.58"/>
    <x v="50"/>
    <x v="2"/>
    <n v="23.18"/>
  </r>
  <r>
    <s v="CID52"/>
    <x v="51"/>
    <x v="8"/>
    <x v="2"/>
    <x v="19"/>
    <x v="2"/>
    <x v="1"/>
    <n v="2"/>
    <x v="51"/>
    <x v="51"/>
    <x v="0"/>
    <x v="1"/>
    <n v="110.34"/>
    <x v="51"/>
    <x v="3"/>
    <n v="31.37"/>
  </r>
  <r>
    <s v="CID53"/>
    <x v="52"/>
    <x v="5"/>
    <x v="3"/>
    <x v="3"/>
    <x v="2"/>
    <x v="4"/>
    <n v="41.04"/>
    <x v="52"/>
    <x v="52"/>
    <x v="2"/>
    <x v="4"/>
    <n v="168.32"/>
    <x v="52"/>
    <x v="2"/>
    <n v="34.950000000000003"/>
  </r>
  <r>
    <s v="CID54"/>
    <x v="53"/>
    <x v="6"/>
    <x v="2"/>
    <x v="19"/>
    <x v="2"/>
    <x v="0"/>
    <n v="25.89"/>
    <x v="53"/>
    <x v="53"/>
    <x v="3"/>
    <x v="4"/>
    <n v="128.88999999999999"/>
    <x v="53"/>
    <x v="1"/>
    <n v="22.87"/>
  </r>
  <r>
    <s v="CID55"/>
    <x v="54"/>
    <x v="7"/>
    <x v="0"/>
    <x v="6"/>
    <x v="0"/>
    <x v="1"/>
    <n v="29.02"/>
    <x v="54"/>
    <x v="54"/>
    <x v="3"/>
    <x v="2"/>
    <n v="124.06"/>
    <x v="54"/>
    <x v="4"/>
    <n v="20.21"/>
  </r>
  <r>
    <s v="CID56"/>
    <x v="55"/>
    <x v="0"/>
    <x v="2"/>
    <x v="13"/>
    <x v="0"/>
    <x v="0"/>
    <n v="70.040000000000006"/>
    <x v="55"/>
    <x v="55"/>
    <x v="1"/>
    <x v="4"/>
    <n v="75.650000000000006"/>
    <x v="55"/>
    <x v="4"/>
    <n v="27.04"/>
  </r>
  <r>
    <s v="CID57"/>
    <x v="56"/>
    <x v="9"/>
    <x v="6"/>
    <x v="17"/>
    <x v="2"/>
    <x v="5"/>
    <n v="82.39"/>
    <x v="56"/>
    <x v="56"/>
    <x v="0"/>
    <x v="4"/>
    <n v="194.26"/>
    <x v="56"/>
    <x v="1"/>
    <n v="22.24"/>
  </r>
  <r>
    <s v="CID58"/>
    <x v="57"/>
    <x v="5"/>
    <x v="1"/>
    <x v="1"/>
    <x v="0"/>
    <x v="3"/>
    <n v="61.03"/>
    <x v="57"/>
    <x v="57"/>
    <x v="3"/>
    <x v="1"/>
    <n v="243.92"/>
    <x v="57"/>
    <x v="2"/>
    <n v="24.46"/>
  </r>
  <r>
    <s v="CID59"/>
    <x v="58"/>
    <x v="12"/>
    <x v="2"/>
    <x v="19"/>
    <x v="1"/>
    <x v="1"/>
    <n v="96.05"/>
    <x v="58"/>
    <x v="58"/>
    <x v="3"/>
    <x v="3"/>
    <n v="206.38"/>
    <x v="58"/>
    <x v="0"/>
    <n v="22.36"/>
  </r>
  <r>
    <s v="CID60"/>
    <x v="59"/>
    <x v="0"/>
    <x v="1"/>
    <x v="1"/>
    <x v="2"/>
    <x v="3"/>
    <n v="69.25"/>
    <x v="59"/>
    <x v="59"/>
    <x v="0"/>
    <x v="4"/>
    <n v="107.87"/>
    <x v="59"/>
    <x v="2"/>
    <n v="21.07"/>
  </r>
  <r>
    <s v="CID61"/>
    <x v="60"/>
    <x v="12"/>
    <x v="4"/>
    <x v="9"/>
    <x v="0"/>
    <x v="4"/>
    <n v="43.09"/>
    <x v="60"/>
    <x v="60"/>
    <x v="3"/>
    <x v="4"/>
    <n v="277.10000000000002"/>
    <x v="60"/>
    <x v="0"/>
    <n v="20.89"/>
  </r>
  <r>
    <s v="CID62"/>
    <x v="61"/>
    <x v="12"/>
    <x v="5"/>
    <x v="15"/>
    <x v="2"/>
    <x v="3"/>
    <n v="13.31"/>
    <x v="61"/>
    <x v="61"/>
    <x v="1"/>
    <x v="1"/>
    <n v="285.67"/>
    <x v="61"/>
    <x v="2"/>
    <n v="26.57"/>
  </r>
  <r>
    <s v="CID63"/>
    <x v="62"/>
    <x v="12"/>
    <x v="0"/>
    <x v="11"/>
    <x v="2"/>
    <x v="5"/>
    <n v="10.039999999999999"/>
    <x v="62"/>
    <x v="62"/>
    <x v="0"/>
    <x v="1"/>
    <n v="299.89"/>
    <x v="62"/>
    <x v="4"/>
    <n v="28.64"/>
  </r>
  <r>
    <s v="CID64"/>
    <x v="63"/>
    <x v="6"/>
    <x v="5"/>
    <x v="15"/>
    <x v="2"/>
    <x v="4"/>
    <n v="99.7"/>
    <x v="63"/>
    <x v="63"/>
    <x v="1"/>
    <x v="2"/>
    <n v="292.26"/>
    <x v="63"/>
    <x v="2"/>
    <n v="25"/>
  </r>
  <r>
    <s v="CID65"/>
    <x v="64"/>
    <x v="8"/>
    <x v="2"/>
    <x v="2"/>
    <x v="2"/>
    <x v="0"/>
    <n v="66.599999999999994"/>
    <x v="64"/>
    <x v="64"/>
    <x v="0"/>
    <x v="3"/>
    <n v="163.71"/>
    <x v="64"/>
    <x v="4"/>
    <n v="21.74"/>
  </r>
  <r>
    <s v="CID66"/>
    <x v="65"/>
    <x v="11"/>
    <x v="4"/>
    <x v="4"/>
    <x v="0"/>
    <x v="3"/>
    <n v="41.91"/>
    <x v="65"/>
    <x v="65"/>
    <x v="2"/>
    <x v="4"/>
    <n v="205.66"/>
    <x v="65"/>
    <x v="2"/>
    <n v="31.4"/>
  </r>
  <r>
    <s v="CID67"/>
    <x v="66"/>
    <x v="9"/>
    <x v="5"/>
    <x v="7"/>
    <x v="2"/>
    <x v="2"/>
    <n v="48.99"/>
    <x v="66"/>
    <x v="66"/>
    <x v="3"/>
    <x v="2"/>
    <n v="227.45"/>
    <x v="66"/>
    <x v="0"/>
    <n v="28.28"/>
  </r>
  <r>
    <s v="CID68"/>
    <x v="67"/>
    <x v="6"/>
    <x v="4"/>
    <x v="4"/>
    <x v="1"/>
    <x v="2"/>
    <n v="83.38"/>
    <x v="67"/>
    <x v="67"/>
    <x v="2"/>
    <x v="1"/>
    <n v="177.22"/>
    <x v="67"/>
    <x v="2"/>
    <n v="34.700000000000003"/>
  </r>
  <r>
    <s v="CID69"/>
    <x v="68"/>
    <x v="4"/>
    <x v="5"/>
    <x v="7"/>
    <x v="1"/>
    <x v="1"/>
    <n v="51.32"/>
    <x v="68"/>
    <x v="68"/>
    <x v="0"/>
    <x v="4"/>
    <n v="119.06"/>
    <x v="68"/>
    <x v="2"/>
    <n v="25.1"/>
  </r>
  <r>
    <s v="CID70"/>
    <x v="69"/>
    <x v="9"/>
    <x v="4"/>
    <x v="4"/>
    <x v="0"/>
    <x v="0"/>
    <n v="83.91"/>
    <x v="69"/>
    <x v="69"/>
    <x v="1"/>
    <x v="3"/>
    <n v="266.32"/>
    <x v="69"/>
    <x v="2"/>
    <n v="25.18"/>
  </r>
  <r>
    <s v="CID71"/>
    <x v="70"/>
    <x v="10"/>
    <x v="3"/>
    <x v="5"/>
    <x v="1"/>
    <x v="2"/>
    <n v="24.64"/>
    <x v="70"/>
    <x v="70"/>
    <x v="1"/>
    <x v="1"/>
    <n v="60.91"/>
    <x v="70"/>
    <x v="2"/>
    <n v="25.79"/>
  </r>
  <r>
    <s v="CID72"/>
    <x v="71"/>
    <x v="3"/>
    <x v="1"/>
    <x v="1"/>
    <x v="0"/>
    <x v="0"/>
    <n v="87.1"/>
    <x v="71"/>
    <x v="71"/>
    <x v="1"/>
    <x v="2"/>
    <n v="74.930000000000007"/>
    <x v="71"/>
    <x v="0"/>
    <n v="30.84"/>
  </r>
  <r>
    <s v="CID73"/>
    <x v="72"/>
    <x v="7"/>
    <x v="1"/>
    <x v="14"/>
    <x v="2"/>
    <x v="0"/>
    <n v="62.7"/>
    <x v="72"/>
    <x v="72"/>
    <x v="0"/>
    <x v="1"/>
    <n v="262.94"/>
    <x v="72"/>
    <x v="3"/>
    <n v="25.7"/>
  </r>
  <r>
    <s v="CID74"/>
    <x v="73"/>
    <x v="0"/>
    <x v="4"/>
    <x v="9"/>
    <x v="0"/>
    <x v="5"/>
    <n v="24.24"/>
    <x v="73"/>
    <x v="73"/>
    <x v="2"/>
    <x v="0"/>
    <n v="299.36"/>
    <x v="73"/>
    <x v="2"/>
    <n v="34.68"/>
  </r>
  <r>
    <s v="CID75"/>
    <x v="74"/>
    <x v="8"/>
    <x v="3"/>
    <x v="3"/>
    <x v="2"/>
    <x v="5"/>
    <n v="5.55"/>
    <x v="74"/>
    <x v="74"/>
    <x v="2"/>
    <x v="2"/>
    <n v="139.62"/>
    <x v="74"/>
    <x v="1"/>
    <n v="27.97"/>
  </r>
  <r>
    <s v="CID76"/>
    <x v="75"/>
    <x v="5"/>
    <x v="6"/>
    <x v="17"/>
    <x v="0"/>
    <x v="3"/>
    <n v="62.35"/>
    <x v="75"/>
    <x v="75"/>
    <x v="3"/>
    <x v="1"/>
    <n v="108.05"/>
    <x v="75"/>
    <x v="2"/>
    <n v="23.83"/>
  </r>
  <r>
    <s v="CID77"/>
    <x v="76"/>
    <x v="3"/>
    <x v="2"/>
    <x v="19"/>
    <x v="1"/>
    <x v="5"/>
    <n v="44.73"/>
    <x v="76"/>
    <x v="76"/>
    <x v="2"/>
    <x v="2"/>
    <n v="209.73"/>
    <x v="76"/>
    <x v="4"/>
    <n v="26.85"/>
  </r>
  <r>
    <s v="CID78"/>
    <x v="77"/>
    <x v="5"/>
    <x v="3"/>
    <x v="5"/>
    <x v="1"/>
    <x v="3"/>
    <n v="57.62"/>
    <x v="77"/>
    <x v="77"/>
    <x v="2"/>
    <x v="0"/>
    <n v="55.48"/>
    <x v="77"/>
    <x v="2"/>
    <n v="24.12"/>
  </r>
  <r>
    <s v="CID79"/>
    <x v="78"/>
    <x v="6"/>
    <x v="5"/>
    <x v="15"/>
    <x v="2"/>
    <x v="4"/>
    <n v="61.1"/>
    <x v="78"/>
    <x v="78"/>
    <x v="3"/>
    <x v="4"/>
    <n v="205.22"/>
    <x v="78"/>
    <x v="1"/>
    <n v="29.42"/>
  </r>
  <r>
    <s v="CID80"/>
    <x v="79"/>
    <x v="0"/>
    <x v="4"/>
    <x v="16"/>
    <x v="0"/>
    <x v="0"/>
    <n v="73.5"/>
    <x v="79"/>
    <x v="79"/>
    <x v="2"/>
    <x v="4"/>
    <n v="131.68"/>
    <x v="79"/>
    <x v="1"/>
    <n v="21.98"/>
  </r>
  <r>
    <s v="CID81"/>
    <x v="80"/>
    <x v="9"/>
    <x v="5"/>
    <x v="15"/>
    <x v="1"/>
    <x v="0"/>
    <n v="91.49"/>
    <x v="80"/>
    <x v="80"/>
    <x v="2"/>
    <x v="2"/>
    <n v="236.64"/>
    <x v="80"/>
    <x v="0"/>
    <n v="27.02"/>
  </r>
  <r>
    <s v="CID82"/>
    <x v="81"/>
    <x v="11"/>
    <x v="4"/>
    <x v="4"/>
    <x v="0"/>
    <x v="2"/>
    <n v="98.01"/>
    <x v="81"/>
    <x v="81"/>
    <x v="2"/>
    <x v="4"/>
    <n v="72.58"/>
    <x v="81"/>
    <x v="4"/>
    <n v="28.05"/>
  </r>
  <r>
    <s v="CID83"/>
    <x v="82"/>
    <x v="11"/>
    <x v="0"/>
    <x v="6"/>
    <x v="2"/>
    <x v="1"/>
    <n v="38.72"/>
    <x v="82"/>
    <x v="82"/>
    <x v="2"/>
    <x v="4"/>
    <n v="77.09"/>
    <x v="82"/>
    <x v="0"/>
    <n v="29.29"/>
  </r>
  <r>
    <s v="CID84"/>
    <x v="83"/>
    <x v="11"/>
    <x v="5"/>
    <x v="7"/>
    <x v="1"/>
    <x v="2"/>
    <n v="82.56"/>
    <x v="83"/>
    <x v="83"/>
    <x v="2"/>
    <x v="1"/>
    <n v="212.31"/>
    <x v="83"/>
    <x v="0"/>
    <n v="34.19"/>
  </r>
  <r>
    <s v="CID85"/>
    <x v="84"/>
    <x v="1"/>
    <x v="1"/>
    <x v="1"/>
    <x v="0"/>
    <x v="4"/>
    <n v="39.479999999999997"/>
    <x v="84"/>
    <x v="84"/>
    <x v="1"/>
    <x v="1"/>
    <n v="196.84"/>
    <x v="84"/>
    <x v="2"/>
    <n v="29.82"/>
  </r>
  <r>
    <s v="CID86"/>
    <x v="85"/>
    <x v="9"/>
    <x v="5"/>
    <x v="8"/>
    <x v="1"/>
    <x v="2"/>
    <n v="37.68"/>
    <x v="85"/>
    <x v="85"/>
    <x v="3"/>
    <x v="0"/>
    <n v="263.86"/>
    <x v="85"/>
    <x v="4"/>
    <n v="28.17"/>
  </r>
  <r>
    <s v="CID87"/>
    <x v="86"/>
    <x v="1"/>
    <x v="3"/>
    <x v="5"/>
    <x v="1"/>
    <x v="3"/>
    <n v="10.08"/>
    <x v="86"/>
    <x v="86"/>
    <x v="0"/>
    <x v="0"/>
    <n v="62.64"/>
    <x v="86"/>
    <x v="1"/>
    <n v="31.8"/>
  </r>
  <r>
    <s v="CID88"/>
    <x v="87"/>
    <x v="1"/>
    <x v="4"/>
    <x v="9"/>
    <x v="0"/>
    <x v="4"/>
    <n v="81.489999999999995"/>
    <x v="87"/>
    <x v="87"/>
    <x v="3"/>
    <x v="2"/>
    <n v="247.16"/>
    <x v="87"/>
    <x v="4"/>
    <n v="32.880000000000003"/>
  </r>
  <r>
    <s v="CID89"/>
    <x v="88"/>
    <x v="7"/>
    <x v="5"/>
    <x v="8"/>
    <x v="1"/>
    <x v="5"/>
    <n v="66.44"/>
    <x v="88"/>
    <x v="88"/>
    <x v="0"/>
    <x v="4"/>
    <n v="139.56"/>
    <x v="88"/>
    <x v="3"/>
    <n v="24.86"/>
  </r>
  <r>
    <s v="CID90"/>
    <x v="89"/>
    <x v="8"/>
    <x v="1"/>
    <x v="1"/>
    <x v="2"/>
    <x v="1"/>
    <n v="12.25"/>
    <x v="89"/>
    <x v="89"/>
    <x v="1"/>
    <x v="3"/>
    <n v="244.5"/>
    <x v="89"/>
    <x v="0"/>
    <n v="26.78"/>
  </r>
  <r>
    <s v="CID91"/>
    <x v="90"/>
    <x v="7"/>
    <x v="1"/>
    <x v="10"/>
    <x v="0"/>
    <x v="1"/>
    <n v="30.86"/>
    <x v="90"/>
    <x v="90"/>
    <x v="0"/>
    <x v="1"/>
    <n v="65.209999999999994"/>
    <x v="90"/>
    <x v="2"/>
    <n v="26.39"/>
  </r>
  <r>
    <s v="CID92"/>
    <x v="91"/>
    <x v="5"/>
    <x v="0"/>
    <x v="11"/>
    <x v="1"/>
    <x v="0"/>
    <n v="61.22"/>
    <x v="91"/>
    <x v="91"/>
    <x v="2"/>
    <x v="3"/>
    <n v="206.08"/>
    <x v="91"/>
    <x v="4"/>
    <n v="25.71"/>
  </r>
  <r>
    <s v="CID93"/>
    <x v="92"/>
    <x v="3"/>
    <x v="2"/>
    <x v="2"/>
    <x v="0"/>
    <x v="3"/>
    <n v="10.82"/>
    <x v="92"/>
    <x v="92"/>
    <x v="3"/>
    <x v="1"/>
    <n v="157.52000000000001"/>
    <x v="92"/>
    <x v="2"/>
    <n v="25.08"/>
  </r>
  <r>
    <s v="CID94"/>
    <x v="93"/>
    <x v="5"/>
    <x v="3"/>
    <x v="12"/>
    <x v="2"/>
    <x v="3"/>
    <n v="31.94"/>
    <x v="93"/>
    <x v="93"/>
    <x v="3"/>
    <x v="1"/>
    <n v="221.71"/>
    <x v="93"/>
    <x v="0"/>
    <n v="32.479999999999997"/>
  </r>
  <r>
    <s v="CID95"/>
    <x v="94"/>
    <x v="8"/>
    <x v="1"/>
    <x v="10"/>
    <x v="2"/>
    <x v="4"/>
    <n v="56.08"/>
    <x v="94"/>
    <x v="94"/>
    <x v="2"/>
    <x v="4"/>
    <n v="217.5"/>
    <x v="94"/>
    <x v="2"/>
    <n v="33.020000000000003"/>
  </r>
  <r>
    <s v="CID96"/>
    <x v="95"/>
    <x v="10"/>
    <x v="5"/>
    <x v="8"/>
    <x v="1"/>
    <x v="1"/>
    <n v="51.23"/>
    <x v="95"/>
    <x v="95"/>
    <x v="1"/>
    <x v="3"/>
    <n v="106.06"/>
    <x v="95"/>
    <x v="3"/>
    <n v="25.51"/>
  </r>
  <r>
    <s v="CID97"/>
    <x v="96"/>
    <x v="3"/>
    <x v="6"/>
    <x v="18"/>
    <x v="0"/>
    <x v="1"/>
    <n v="67.819999999999993"/>
    <x v="96"/>
    <x v="96"/>
    <x v="2"/>
    <x v="0"/>
    <n v="57.24"/>
    <x v="96"/>
    <x v="4"/>
    <n v="33.82"/>
  </r>
  <r>
    <s v="CID98"/>
    <x v="97"/>
    <x v="12"/>
    <x v="6"/>
    <x v="17"/>
    <x v="0"/>
    <x v="3"/>
    <n v="7.89"/>
    <x v="97"/>
    <x v="97"/>
    <x v="0"/>
    <x v="2"/>
    <n v="72.94"/>
    <x v="97"/>
    <x v="2"/>
    <n v="26.3"/>
  </r>
  <r>
    <s v="CID99"/>
    <x v="98"/>
    <x v="8"/>
    <x v="2"/>
    <x v="2"/>
    <x v="2"/>
    <x v="1"/>
    <n v="60.03"/>
    <x v="98"/>
    <x v="98"/>
    <x v="3"/>
    <x v="1"/>
    <n v="89.35"/>
    <x v="98"/>
    <x v="0"/>
    <n v="24.08"/>
  </r>
  <r>
    <s v="CID100"/>
    <x v="99"/>
    <x v="4"/>
    <x v="5"/>
    <x v="8"/>
    <x v="2"/>
    <x v="4"/>
    <n v="75.739999999999995"/>
    <x v="99"/>
    <x v="99"/>
    <x v="1"/>
    <x v="0"/>
    <n v="77.72"/>
    <x v="99"/>
    <x v="3"/>
    <n v="27.3"/>
  </r>
  <r>
    <s v="CID101"/>
    <x v="100"/>
    <x v="12"/>
    <x v="6"/>
    <x v="18"/>
    <x v="1"/>
    <x v="5"/>
    <n v="21.24"/>
    <x v="100"/>
    <x v="100"/>
    <x v="3"/>
    <x v="2"/>
    <n v="241.04"/>
    <x v="100"/>
    <x v="0"/>
    <n v="20.12"/>
  </r>
  <r>
    <s v="CID102"/>
    <x v="92"/>
    <x v="3"/>
    <x v="6"/>
    <x v="18"/>
    <x v="0"/>
    <x v="4"/>
    <n v="50.53"/>
    <x v="101"/>
    <x v="101"/>
    <x v="2"/>
    <x v="0"/>
    <n v="68.02"/>
    <x v="101"/>
    <x v="0"/>
    <n v="26.54"/>
  </r>
  <r>
    <s v="CID103"/>
    <x v="101"/>
    <x v="12"/>
    <x v="4"/>
    <x v="16"/>
    <x v="2"/>
    <x v="1"/>
    <n v="41.04"/>
    <x v="102"/>
    <x v="102"/>
    <x v="2"/>
    <x v="4"/>
    <n v="78.790000000000006"/>
    <x v="102"/>
    <x v="4"/>
    <n v="22.58"/>
  </r>
  <r>
    <s v="CID104"/>
    <x v="102"/>
    <x v="5"/>
    <x v="1"/>
    <x v="14"/>
    <x v="1"/>
    <x v="3"/>
    <n v="59.3"/>
    <x v="103"/>
    <x v="103"/>
    <x v="1"/>
    <x v="0"/>
    <n v="267.63"/>
    <x v="103"/>
    <x v="1"/>
    <n v="25"/>
  </r>
  <r>
    <s v="CID105"/>
    <x v="103"/>
    <x v="5"/>
    <x v="5"/>
    <x v="15"/>
    <x v="0"/>
    <x v="1"/>
    <n v="20.2"/>
    <x v="104"/>
    <x v="104"/>
    <x v="2"/>
    <x v="4"/>
    <n v="231.84"/>
    <x v="104"/>
    <x v="1"/>
    <n v="23.54"/>
  </r>
  <r>
    <s v="CID106"/>
    <x v="104"/>
    <x v="12"/>
    <x v="6"/>
    <x v="17"/>
    <x v="1"/>
    <x v="2"/>
    <n v="8.4600000000000009"/>
    <x v="105"/>
    <x v="105"/>
    <x v="1"/>
    <x v="3"/>
    <n v="165.99"/>
    <x v="105"/>
    <x v="3"/>
    <n v="26.73"/>
  </r>
  <r>
    <s v="CID107"/>
    <x v="105"/>
    <x v="10"/>
    <x v="2"/>
    <x v="19"/>
    <x v="1"/>
    <x v="3"/>
    <n v="7.76"/>
    <x v="106"/>
    <x v="106"/>
    <x v="2"/>
    <x v="1"/>
    <n v="249.08"/>
    <x v="106"/>
    <x v="4"/>
    <n v="27.61"/>
  </r>
  <r>
    <s v="CID108"/>
    <x v="106"/>
    <x v="0"/>
    <x v="3"/>
    <x v="3"/>
    <x v="2"/>
    <x v="0"/>
    <n v="8.6"/>
    <x v="107"/>
    <x v="107"/>
    <x v="0"/>
    <x v="1"/>
    <n v="203.75"/>
    <x v="107"/>
    <x v="2"/>
    <n v="28.7"/>
  </r>
  <r>
    <s v="CID109"/>
    <x v="107"/>
    <x v="11"/>
    <x v="4"/>
    <x v="9"/>
    <x v="1"/>
    <x v="0"/>
    <n v="60.9"/>
    <x v="108"/>
    <x v="108"/>
    <x v="0"/>
    <x v="3"/>
    <n v="162.63"/>
    <x v="108"/>
    <x v="4"/>
    <n v="34.74"/>
  </r>
  <r>
    <s v="CID110"/>
    <x v="108"/>
    <x v="0"/>
    <x v="0"/>
    <x v="0"/>
    <x v="1"/>
    <x v="2"/>
    <n v="44.34"/>
    <x v="109"/>
    <x v="109"/>
    <x v="3"/>
    <x v="3"/>
    <n v="140.97"/>
    <x v="109"/>
    <x v="2"/>
    <n v="26.13"/>
  </r>
  <r>
    <s v="CID111"/>
    <x v="109"/>
    <x v="11"/>
    <x v="1"/>
    <x v="10"/>
    <x v="2"/>
    <x v="5"/>
    <n v="33.64"/>
    <x v="110"/>
    <x v="110"/>
    <x v="1"/>
    <x v="0"/>
    <n v="121.04"/>
    <x v="110"/>
    <x v="3"/>
    <n v="33.1"/>
  </r>
  <r>
    <s v="CID112"/>
    <x v="110"/>
    <x v="2"/>
    <x v="5"/>
    <x v="15"/>
    <x v="2"/>
    <x v="0"/>
    <n v="96.8"/>
    <x v="111"/>
    <x v="111"/>
    <x v="1"/>
    <x v="4"/>
    <n v="82.24"/>
    <x v="111"/>
    <x v="0"/>
    <n v="24.64"/>
  </r>
  <r>
    <s v="CID113"/>
    <x v="111"/>
    <x v="11"/>
    <x v="4"/>
    <x v="4"/>
    <x v="0"/>
    <x v="2"/>
    <n v="99.72"/>
    <x v="112"/>
    <x v="112"/>
    <x v="0"/>
    <x v="2"/>
    <n v="211.51"/>
    <x v="112"/>
    <x v="4"/>
    <n v="20.27"/>
  </r>
  <r>
    <s v="CID114"/>
    <x v="112"/>
    <x v="7"/>
    <x v="6"/>
    <x v="18"/>
    <x v="2"/>
    <x v="4"/>
    <n v="23.43"/>
    <x v="113"/>
    <x v="113"/>
    <x v="0"/>
    <x v="0"/>
    <n v="123.95"/>
    <x v="113"/>
    <x v="3"/>
    <n v="31.56"/>
  </r>
  <r>
    <s v="CID115"/>
    <x v="113"/>
    <x v="7"/>
    <x v="0"/>
    <x v="11"/>
    <x v="0"/>
    <x v="4"/>
    <n v="60.13"/>
    <x v="114"/>
    <x v="114"/>
    <x v="3"/>
    <x v="1"/>
    <n v="257.83999999999997"/>
    <x v="114"/>
    <x v="1"/>
    <n v="30.82"/>
  </r>
  <r>
    <s v="CID116"/>
    <x v="114"/>
    <x v="8"/>
    <x v="2"/>
    <x v="19"/>
    <x v="1"/>
    <x v="3"/>
    <n v="61.45"/>
    <x v="115"/>
    <x v="115"/>
    <x v="1"/>
    <x v="4"/>
    <n v="108.5"/>
    <x v="115"/>
    <x v="2"/>
    <n v="33.56"/>
  </r>
  <r>
    <s v="CID117"/>
    <x v="115"/>
    <x v="6"/>
    <x v="0"/>
    <x v="6"/>
    <x v="2"/>
    <x v="0"/>
    <n v="78.03"/>
    <x v="116"/>
    <x v="116"/>
    <x v="1"/>
    <x v="0"/>
    <n v="291.57"/>
    <x v="116"/>
    <x v="3"/>
    <n v="22.08"/>
  </r>
  <r>
    <s v="CID118"/>
    <x v="116"/>
    <x v="10"/>
    <x v="0"/>
    <x v="11"/>
    <x v="0"/>
    <x v="5"/>
    <n v="71.430000000000007"/>
    <x v="117"/>
    <x v="117"/>
    <x v="0"/>
    <x v="2"/>
    <n v="121.27"/>
    <x v="117"/>
    <x v="4"/>
    <n v="26.74"/>
  </r>
  <r>
    <s v="CID119"/>
    <x v="117"/>
    <x v="5"/>
    <x v="4"/>
    <x v="16"/>
    <x v="1"/>
    <x v="3"/>
    <n v="88.58"/>
    <x v="118"/>
    <x v="118"/>
    <x v="1"/>
    <x v="4"/>
    <n v="63.31"/>
    <x v="118"/>
    <x v="1"/>
    <n v="25.79"/>
  </r>
  <r>
    <s v="CID120"/>
    <x v="118"/>
    <x v="10"/>
    <x v="6"/>
    <x v="17"/>
    <x v="1"/>
    <x v="2"/>
    <n v="65.349999999999994"/>
    <x v="119"/>
    <x v="119"/>
    <x v="3"/>
    <x v="1"/>
    <n v="59.58"/>
    <x v="119"/>
    <x v="2"/>
    <n v="30.44"/>
  </r>
  <r>
    <s v="CID121"/>
    <x v="119"/>
    <x v="0"/>
    <x v="3"/>
    <x v="12"/>
    <x v="1"/>
    <x v="5"/>
    <n v="26.34"/>
    <x v="120"/>
    <x v="120"/>
    <x v="1"/>
    <x v="1"/>
    <n v="77.8"/>
    <x v="120"/>
    <x v="4"/>
    <n v="21.83"/>
  </r>
  <r>
    <s v="CID122"/>
    <x v="120"/>
    <x v="6"/>
    <x v="0"/>
    <x v="6"/>
    <x v="1"/>
    <x v="5"/>
    <n v="83.83"/>
    <x v="121"/>
    <x v="121"/>
    <x v="0"/>
    <x v="3"/>
    <n v="207.99"/>
    <x v="121"/>
    <x v="1"/>
    <n v="24.37"/>
  </r>
  <r>
    <s v="CID123"/>
    <x v="121"/>
    <x v="12"/>
    <x v="2"/>
    <x v="13"/>
    <x v="2"/>
    <x v="4"/>
    <n v="66.77"/>
    <x v="122"/>
    <x v="122"/>
    <x v="2"/>
    <x v="3"/>
    <n v="66.92"/>
    <x v="122"/>
    <x v="3"/>
    <n v="31.8"/>
  </r>
  <r>
    <s v="CID124"/>
    <x v="122"/>
    <x v="6"/>
    <x v="1"/>
    <x v="14"/>
    <x v="1"/>
    <x v="2"/>
    <n v="39.299999999999997"/>
    <x v="123"/>
    <x v="123"/>
    <x v="0"/>
    <x v="3"/>
    <n v="139.27000000000001"/>
    <x v="123"/>
    <x v="1"/>
    <n v="30.99"/>
  </r>
  <r>
    <s v="CID125"/>
    <x v="123"/>
    <x v="2"/>
    <x v="0"/>
    <x v="11"/>
    <x v="1"/>
    <x v="0"/>
    <n v="55.06"/>
    <x v="124"/>
    <x v="124"/>
    <x v="3"/>
    <x v="0"/>
    <n v="257.60000000000002"/>
    <x v="124"/>
    <x v="2"/>
    <n v="29.48"/>
  </r>
  <r>
    <s v="CID126"/>
    <x v="124"/>
    <x v="0"/>
    <x v="0"/>
    <x v="11"/>
    <x v="2"/>
    <x v="4"/>
    <n v="5.34"/>
    <x v="125"/>
    <x v="125"/>
    <x v="0"/>
    <x v="1"/>
    <n v="128.9"/>
    <x v="125"/>
    <x v="2"/>
    <n v="34.840000000000003"/>
  </r>
  <r>
    <s v="CID127"/>
    <x v="125"/>
    <x v="7"/>
    <x v="2"/>
    <x v="13"/>
    <x v="0"/>
    <x v="4"/>
    <n v="29.32"/>
    <x v="126"/>
    <x v="126"/>
    <x v="0"/>
    <x v="1"/>
    <n v="266.45"/>
    <x v="126"/>
    <x v="0"/>
    <n v="31.99"/>
  </r>
  <r>
    <s v="CID128"/>
    <x v="126"/>
    <x v="4"/>
    <x v="0"/>
    <x v="11"/>
    <x v="2"/>
    <x v="4"/>
    <n v="50.12"/>
    <x v="127"/>
    <x v="127"/>
    <x v="2"/>
    <x v="3"/>
    <n v="250.29"/>
    <x v="127"/>
    <x v="0"/>
    <n v="26.46"/>
  </r>
  <r>
    <s v="CID129"/>
    <x v="127"/>
    <x v="5"/>
    <x v="2"/>
    <x v="2"/>
    <x v="1"/>
    <x v="0"/>
    <n v="66.430000000000007"/>
    <x v="128"/>
    <x v="128"/>
    <x v="1"/>
    <x v="3"/>
    <n v="91.66"/>
    <x v="128"/>
    <x v="2"/>
    <n v="20.64"/>
  </r>
  <r>
    <s v="CID130"/>
    <x v="128"/>
    <x v="11"/>
    <x v="3"/>
    <x v="5"/>
    <x v="1"/>
    <x v="5"/>
    <n v="67.45"/>
    <x v="129"/>
    <x v="129"/>
    <x v="3"/>
    <x v="0"/>
    <n v="288.2"/>
    <x v="129"/>
    <x v="3"/>
    <n v="30.17"/>
  </r>
  <r>
    <s v="CID131"/>
    <x v="129"/>
    <x v="1"/>
    <x v="6"/>
    <x v="17"/>
    <x v="0"/>
    <x v="0"/>
    <n v="36.85"/>
    <x v="130"/>
    <x v="130"/>
    <x v="0"/>
    <x v="0"/>
    <n v="201.27"/>
    <x v="130"/>
    <x v="4"/>
    <n v="25.58"/>
  </r>
  <r>
    <s v="CID132"/>
    <x v="130"/>
    <x v="3"/>
    <x v="5"/>
    <x v="7"/>
    <x v="2"/>
    <x v="3"/>
    <n v="32.119999999999997"/>
    <x v="131"/>
    <x v="131"/>
    <x v="0"/>
    <x v="0"/>
    <n v="56.48"/>
    <x v="131"/>
    <x v="3"/>
    <n v="25.8"/>
  </r>
  <r>
    <s v="CID133"/>
    <x v="131"/>
    <x v="8"/>
    <x v="2"/>
    <x v="2"/>
    <x v="2"/>
    <x v="4"/>
    <n v="99.64"/>
    <x v="132"/>
    <x v="132"/>
    <x v="1"/>
    <x v="0"/>
    <n v="100.04"/>
    <x v="132"/>
    <x v="0"/>
    <n v="26.78"/>
  </r>
  <r>
    <s v="CID134"/>
    <x v="116"/>
    <x v="10"/>
    <x v="4"/>
    <x v="9"/>
    <x v="0"/>
    <x v="0"/>
    <n v="71.239999999999995"/>
    <x v="133"/>
    <x v="133"/>
    <x v="2"/>
    <x v="2"/>
    <n v="272.83"/>
    <x v="133"/>
    <x v="1"/>
    <n v="31.91"/>
  </r>
  <r>
    <s v="CID135"/>
    <x v="132"/>
    <x v="7"/>
    <x v="1"/>
    <x v="1"/>
    <x v="1"/>
    <x v="4"/>
    <n v="79.25"/>
    <x v="134"/>
    <x v="134"/>
    <x v="2"/>
    <x v="0"/>
    <n v="166.85"/>
    <x v="134"/>
    <x v="1"/>
    <n v="29.18"/>
  </r>
  <r>
    <s v="CID136"/>
    <x v="133"/>
    <x v="8"/>
    <x v="2"/>
    <x v="2"/>
    <x v="0"/>
    <x v="3"/>
    <n v="53.04"/>
    <x v="135"/>
    <x v="135"/>
    <x v="0"/>
    <x v="3"/>
    <n v="81.33"/>
    <x v="135"/>
    <x v="0"/>
    <n v="26.75"/>
  </r>
  <r>
    <s v="CID137"/>
    <x v="134"/>
    <x v="7"/>
    <x v="2"/>
    <x v="13"/>
    <x v="0"/>
    <x v="2"/>
    <n v="59.19"/>
    <x v="136"/>
    <x v="136"/>
    <x v="3"/>
    <x v="2"/>
    <n v="158.15"/>
    <x v="136"/>
    <x v="0"/>
    <n v="32.47"/>
  </r>
  <r>
    <s v="CID138"/>
    <x v="135"/>
    <x v="2"/>
    <x v="2"/>
    <x v="13"/>
    <x v="2"/>
    <x v="2"/>
    <n v="23.32"/>
    <x v="137"/>
    <x v="137"/>
    <x v="2"/>
    <x v="3"/>
    <n v="261.48"/>
    <x v="137"/>
    <x v="3"/>
    <n v="24.12"/>
  </r>
  <r>
    <s v="CID139"/>
    <x v="136"/>
    <x v="3"/>
    <x v="5"/>
    <x v="7"/>
    <x v="0"/>
    <x v="4"/>
    <n v="59.59"/>
    <x v="138"/>
    <x v="138"/>
    <x v="3"/>
    <x v="3"/>
    <n v="214.68"/>
    <x v="138"/>
    <x v="3"/>
    <n v="25.06"/>
  </r>
  <r>
    <s v="CID140"/>
    <x v="137"/>
    <x v="5"/>
    <x v="1"/>
    <x v="1"/>
    <x v="1"/>
    <x v="2"/>
    <n v="77.33"/>
    <x v="139"/>
    <x v="139"/>
    <x v="3"/>
    <x v="4"/>
    <n v="241.74"/>
    <x v="139"/>
    <x v="0"/>
    <n v="27.47"/>
  </r>
  <r>
    <s v="CID141"/>
    <x v="138"/>
    <x v="6"/>
    <x v="0"/>
    <x v="11"/>
    <x v="1"/>
    <x v="2"/>
    <n v="41.2"/>
    <x v="140"/>
    <x v="140"/>
    <x v="0"/>
    <x v="4"/>
    <n v="89.52"/>
    <x v="140"/>
    <x v="2"/>
    <n v="23.06"/>
  </r>
  <r>
    <s v="CID142"/>
    <x v="139"/>
    <x v="10"/>
    <x v="4"/>
    <x v="9"/>
    <x v="0"/>
    <x v="0"/>
    <n v="97.56"/>
    <x v="141"/>
    <x v="141"/>
    <x v="2"/>
    <x v="1"/>
    <n v="178.75"/>
    <x v="141"/>
    <x v="1"/>
    <n v="27"/>
  </r>
  <r>
    <s v="CID143"/>
    <x v="140"/>
    <x v="5"/>
    <x v="6"/>
    <x v="17"/>
    <x v="1"/>
    <x v="0"/>
    <n v="94.59"/>
    <x v="142"/>
    <x v="142"/>
    <x v="1"/>
    <x v="4"/>
    <n v="112.07"/>
    <x v="142"/>
    <x v="1"/>
    <n v="32.200000000000003"/>
  </r>
  <r>
    <s v="CID144"/>
    <x v="141"/>
    <x v="6"/>
    <x v="6"/>
    <x v="17"/>
    <x v="0"/>
    <x v="3"/>
    <n v="50.38"/>
    <x v="143"/>
    <x v="143"/>
    <x v="0"/>
    <x v="3"/>
    <n v="72.510000000000005"/>
    <x v="143"/>
    <x v="2"/>
    <n v="34.5"/>
  </r>
  <r>
    <s v="CID145"/>
    <x v="142"/>
    <x v="0"/>
    <x v="2"/>
    <x v="13"/>
    <x v="2"/>
    <x v="3"/>
    <n v="60.15"/>
    <x v="144"/>
    <x v="144"/>
    <x v="1"/>
    <x v="4"/>
    <n v="121.44"/>
    <x v="144"/>
    <x v="0"/>
    <n v="26.46"/>
  </r>
  <r>
    <s v="CID146"/>
    <x v="143"/>
    <x v="10"/>
    <x v="4"/>
    <x v="16"/>
    <x v="1"/>
    <x v="3"/>
    <n v="6.06"/>
    <x v="145"/>
    <x v="145"/>
    <x v="2"/>
    <x v="4"/>
    <n v="188.31"/>
    <x v="145"/>
    <x v="3"/>
    <n v="26.76"/>
  </r>
  <r>
    <s v="CID147"/>
    <x v="144"/>
    <x v="11"/>
    <x v="4"/>
    <x v="9"/>
    <x v="0"/>
    <x v="5"/>
    <n v="13.74"/>
    <x v="146"/>
    <x v="146"/>
    <x v="2"/>
    <x v="3"/>
    <n v="248.72"/>
    <x v="146"/>
    <x v="4"/>
    <n v="31.32"/>
  </r>
  <r>
    <s v="CID148"/>
    <x v="145"/>
    <x v="3"/>
    <x v="5"/>
    <x v="8"/>
    <x v="1"/>
    <x v="5"/>
    <n v="4.8499999999999996"/>
    <x v="147"/>
    <x v="147"/>
    <x v="1"/>
    <x v="2"/>
    <n v="179.83"/>
    <x v="147"/>
    <x v="3"/>
    <n v="22.1"/>
  </r>
  <r>
    <s v="CID149"/>
    <x v="146"/>
    <x v="8"/>
    <x v="3"/>
    <x v="12"/>
    <x v="2"/>
    <x v="1"/>
    <n v="34.299999999999997"/>
    <x v="148"/>
    <x v="148"/>
    <x v="1"/>
    <x v="1"/>
    <n v="227.18"/>
    <x v="148"/>
    <x v="0"/>
    <n v="25.53"/>
  </r>
  <r>
    <s v="CID150"/>
    <x v="147"/>
    <x v="7"/>
    <x v="5"/>
    <x v="8"/>
    <x v="0"/>
    <x v="2"/>
    <n v="63.3"/>
    <x v="149"/>
    <x v="149"/>
    <x v="2"/>
    <x v="0"/>
    <n v="291.77"/>
    <x v="149"/>
    <x v="3"/>
    <n v="28.66"/>
  </r>
  <r>
    <s v="CID151"/>
    <x v="148"/>
    <x v="2"/>
    <x v="5"/>
    <x v="8"/>
    <x v="0"/>
    <x v="2"/>
    <n v="72.400000000000006"/>
    <x v="150"/>
    <x v="150"/>
    <x v="1"/>
    <x v="0"/>
    <n v="86.94"/>
    <x v="150"/>
    <x v="0"/>
    <n v="28.59"/>
  </r>
  <r>
    <s v="CID152"/>
    <x v="149"/>
    <x v="6"/>
    <x v="6"/>
    <x v="17"/>
    <x v="2"/>
    <x v="3"/>
    <n v="15.99"/>
    <x v="151"/>
    <x v="151"/>
    <x v="1"/>
    <x v="2"/>
    <n v="175.45"/>
    <x v="151"/>
    <x v="2"/>
    <n v="33.090000000000003"/>
  </r>
  <r>
    <s v="CID153"/>
    <x v="150"/>
    <x v="3"/>
    <x v="5"/>
    <x v="7"/>
    <x v="2"/>
    <x v="2"/>
    <n v="48.36"/>
    <x v="152"/>
    <x v="152"/>
    <x v="3"/>
    <x v="3"/>
    <n v="164.92"/>
    <x v="152"/>
    <x v="3"/>
    <n v="25.31"/>
  </r>
  <r>
    <s v="CID154"/>
    <x v="151"/>
    <x v="1"/>
    <x v="3"/>
    <x v="3"/>
    <x v="2"/>
    <x v="1"/>
    <n v="30.55"/>
    <x v="153"/>
    <x v="153"/>
    <x v="2"/>
    <x v="3"/>
    <n v="242.79"/>
    <x v="153"/>
    <x v="2"/>
    <n v="24.76"/>
  </r>
  <r>
    <s v="CID155"/>
    <x v="152"/>
    <x v="9"/>
    <x v="4"/>
    <x v="9"/>
    <x v="2"/>
    <x v="5"/>
    <n v="57.77"/>
    <x v="154"/>
    <x v="154"/>
    <x v="1"/>
    <x v="0"/>
    <n v="254.59"/>
    <x v="154"/>
    <x v="1"/>
    <n v="24.36"/>
  </r>
  <r>
    <s v="CID156"/>
    <x v="153"/>
    <x v="11"/>
    <x v="2"/>
    <x v="2"/>
    <x v="2"/>
    <x v="2"/>
    <n v="48.43"/>
    <x v="155"/>
    <x v="155"/>
    <x v="2"/>
    <x v="2"/>
    <n v="283.26"/>
    <x v="155"/>
    <x v="1"/>
    <n v="21.64"/>
  </r>
  <r>
    <s v="CID157"/>
    <x v="154"/>
    <x v="11"/>
    <x v="6"/>
    <x v="17"/>
    <x v="0"/>
    <x v="4"/>
    <n v="64.16"/>
    <x v="156"/>
    <x v="156"/>
    <x v="1"/>
    <x v="2"/>
    <n v="132.57"/>
    <x v="156"/>
    <x v="1"/>
    <n v="20.079999999999998"/>
  </r>
  <r>
    <s v="CID158"/>
    <x v="155"/>
    <x v="6"/>
    <x v="3"/>
    <x v="12"/>
    <x v="2"/>
    <x v="2"/>
    <n v="20.75"/>
    <x v="157"/>
    <x v="157"/>
    <x v="2"/>
    <x v="3"/>
    <n v="121.35"/>
    <x v="157"/>
    <x v="0"/>
    <n v="29.78"/>
  </r>
  <r>
    <s v="CID159"/>
    <x v="156"/>
    <x v="0"/>
    <x v="0"/>
    <x v="6"/>
    <x v="1"/>
    <x v="3"/>
    <n v="88.34"/>
    <x v="158"/>
    <x v="158"/>
    <x v="0"/>
    <x v="0"/>
    <n v="299.29000000000002"/>
    <x v="158"/>
    <x v="2"/>
    <n v="22.79"/>
  </r>
  <r>
    <s v="CID160"/>
    <x v="157"/>
    <x v="12"/>
    <x v="1"/>
    <x v="14"/>
    <x v="0"/>
    <x v="5"/>
    <n v="92.92"/>
    <x v="159"/>
    <x v="159"/>
    <x v="1"/>
    <x v="3"/>
    <n v="297.27"/>
    <x v="159"/>
    <x v="2"/>
    <n v="33.340000000000003"/>
  </r>
  <r>
    <s v="CID161"/>
    <x v="158"/>
    <x v="1"/>
    <x v="3"/>
    <x v="5"/>
    <x v="1"/>
    <x v="0"/>
    <n v="17.09"/>
    <x v="160"/>
    <x v="160"/>
    <x v="2"/>
    <x v="2"/>
    <n v="229.65"/>
    <x v="160"/>
    <x v="4"/>
    <n v="31.86"/>
  </r>
  <r>
    <s v="CID162"/>
    <x v="159"/>
    <x v="11"/>
    <x v="6"/>
    <x v="20"/>
    <x v="2"/>
    <x v="3"/>
    <n v="52.01"/>
    <x v="161"/>
    <x v="161"/>
    <x v="0"/>
    <x v="4"/>
    <n v="96.2"/>
    <x v="161"/>
    <x v="4"/>
    <n v="34.04"/>
  </r>
  <r>
    <s v="CID163"/>
    <x v="160"/>
    <x v="6"/>
    <x v="3"/>
    <x v="3"/>
    <x v="2"/>
    <x v="0"/>
    <n v="30.89"/>
    <x v="162"/>
    <x v="162"/>
    <x v="0"/>
    <x v="1"/>
    <n v="115.39"/>
    <x v="162"/>
    <x v="1"/>
    <n v="20.93"/>
  </r>
  <r>
    <s v="CID164"/>
    <x v="161"/>
    <x v="4"/>
    <x v="2"/>
    <x v="13"/>
    <x v="0"/>
    <x v="1"/>
    <n v="92.39"/>
    <x v="163"/>
    <x v="163"/>
    <x v="2"/>
    <x v="2"/>
    <n v="222.57"/>
    <x v="163"/>
    <x v="4"/>
    <n v="25.51"/>
  </r>
  <r>
    <s v="CID165"/>
    <x v="162"/>
    <x v="2"/>
    <x v="6"/>
    <x v="18"/>
    <x v="2"/>
    <x v="2"/>
    <n v="98.89"/>
    <x v="164"/>
    <x v="164"/>
    <x v="1"/>
    <x v="3"/>
    <n v="239.34"/>
    <x v="164"/>
    <x v="1"/>
    <n v="31.43"/>
  </r>
  <r>
    <s v="CID166"/>
    <x v="131"/>
    <x v="8"/>
    <x v="3"/>
    <x v="12"/>
    <x v="2"/>
    <x v="5"/>
    <n v="91.81"/>
    <x v="165"/>
    <x v="165"/>
    <x v="3"/>
    <x v="0"/>
    <n v="193.18"/>
    <x v="165"/>
    <x v="4"/>
    <n v="32.82"/>
  </r>
  <r>
    <s v="CID167"/>
    <x v="163"/>
    <x v="8"/>
    <x v="0"/>
    <x v="0"/>
    <x v="0"/>
    <x v="3"/>
    <n v="10"/>
    <x v="166"/>
    <x v="166"/>
    <x v="0"/>
    <x v="1"/>
    <n v="163.36000000000001"/>
    <x v="166"/>
    <x v="2"/>
    <n v="28.46"/>
  </r>
  <r>
    <s v="CID168"/>
    <x v="164"/>
    <x v="8"/>
    <x v="0"/>
    <x v="11"/>
    <x v="1"/>
    <x v="3"/>
    <n v="26.19"/>
    <x v="167"/>
    <x v="167"/>
    <x v="3"/>
    <x v="0"/>
    <n v="194.58"/>
    <x v="167"/>
    <x v="4"/>
    <n v="30.51"/>
  </r>
  <r>
    <s v="CID169"/>
    <x v="165"/>
    <x v="0"/>
    <x v="1"/>
    <x v="14"/>
    <x v="2"/>
    <x v="3"/>
    <n v="18.82"/>
    <x v="168"/>
    <x v="168"/>
    <x v="1"/>
    <x v="1"/>
    <n v="143.62"/>
    <x v="168"/>
    <x v="2"/>
    <n v="33.04"/>
  </r>
  <r>
    <s v="CID170"/>
    <x v="166"/>
    <x v="11"/>
    <x v="1"/>
    <x v="10"/>
    <x v="0"/>
    <x v="4"/>
    <n v="65.7"/>
    <x v="169"/>
    <x v="169"/>
    <x v="3"/>
    <x v="0"/>
    <n v="298.20999999999998"/>
    <x v="169"/>
    <x v="1"/>
    <n v="30.92"/>
  </r>
  <r>
    <s v="CID171"/>
    <x v="167"/>
    <x v="9"/>
    <x v="4"/>
    <x v="4"/>
    <x v="2"/>
    <x v="2"/>
    <n v="72.19"/>
    <x v="170"/>
    <x v="170"/>
    <x v="1"/>
    <x v="0"/>
    <n v="255.84"/>
    <x v="170"/>
    <x v="4"/>
    <n v="22.33"/>
  </r>
  <r>
    <s v="CID172"/>
    <x v="168"/>
    <x v="4"/>
    <x v="1"/>
    <x v="10"/>
    <x v="0"/>
    <x v="5"/>
    <n v="24.83"/>
    <x v="171"/>
    <x v="171"/>
    <x v="0"/>
    <x v="1"/>
    <n v="161.61000000000001"/>
    <x v="171"/>
    <x v="0"/>
    <n v="23.67"/>
  </r>
  <r>
    <s v="CID173"/>
    <x v="169"/>
    <x v="3"/>
    <x v="3"/>
    <x v="3"/>
    <x v="1"/>
    <x v="5"/>
    <n v="14.87"/>
    <x v="172"/>
    <x v="172"/>
    <x v="3"/>
    <x v="2"/>
    <n v="253.95"/>
    <x v="172"/>
    <x v="4"/>
    <n v="28.66"/>
  </r>
  <r>
    <s v="CID174"/>
    <x v="170"/>
    <x v="11"/>
    <x v="2"/>
    <x v="13"/>
    <x v="0"/>
    <x v="4"/>
    <n v="41.94"/>
    <x v="173"/>
    <x v="173"/>
    <x v="3"/>
    <x v="1"/>
    <n v="206.5"/>
    <x v="173"/>
    <x v="2"/>
    <n v="20.7"/>
  </r>
  <r>
    <s v="CID175"/>
    <x v="171"/>
    <x v="10"/>
    <x v="4"/>
    <x v="9"/>
    <x v="0"/>
    <x v="3"/>
    <n v="41.42"/>
    <x v="174"/>
    <x v="174"/>
    <x v="3"/>
    <x v="2"/>
    <n v="238.6"/>
    <x v="174"/>
    <x v="1"/>
    <n v="24.51"/>
  </r>
  <r>
    <s v="CID176"/>
    <x v="172"/>
    <x v="0"/>
    <x v="4"/>
    <x v="16"/>
    <x v="0"/>
    <x v="3"/>
    <n v="96.81"/>
    <x v="175"/>
    <x v="175"/>
    <x v="3"/>
    <x v="1"/>
    <n v="147.1"/>
    <x v="175"/>
    <x v="4"/>
    <n v="29.7"/>
  </r>
  <r>
    <s v="CID177"/>
    <x v="173"/>
    <x v="5"/>
    <x v="4"/>
    <x v="16"/>
    <x v="0"/>
    <x v="2"/>
    <n v="83.11"/>
    <x v="176"/>
    <x v="176"/>
    <x v="1"/>
    <x v="3"/>
    <n v="218.42"/>
    <x v="176"/>
    <x v="0"/>
    <n v="22.82"/>
  </r>
  <r>
    <s v="CID178"/>
    <x v="174"/>
    <x v="3"/>
    <x v="0"/>
    <x v="6"/>
    <x v="1"/>
    <x v="3"/>
    <n v="21.68"/>
    <x v="177"/>
    <x v="177"/>
    <x v="2"/>
    <x v="1"/>
    <n v="289.25"/>
    <x v="177"/>
    <x v="1"/>
    <n v="34.43"/>
  </r>
  <r>
    <s v="CID179"/>
    <x v="175"/>
    <x v="12"/>
    <x v="6"/>
    <x v="20"/>
    <x v="0"/>
    <x v="4"/>
    <n v="40.270000000000003"/>
    <x v="178"/>
    <x v="178"/>
    <x v="2"/>
    <x v="4"/>
    <n v="243.88"/>
    <x v="178"/>
    <x v="3"/>
    <n v="29.73"/>
  </r>
  <r>
    <s v="CID180"/>
    <x v="176"/>
    <x v="6"/>
    <x v="2"/>
    <x v="19"/>
    <x v="2"/>
    <x v="5"/>
    <n v="80.48"/>
    <x v="179"/>
    <x v="179"/>
    <x v="2"/>
    <x v="2"/>
    <n v="278.58"/>
    <x v="179"/>
    <x v="2"/>
    <n v="20.69"/>
  </r>
  <r>
    <s v="CID181"/>
    <x v="177"/>
    <x v="3"/>
    <x v="1"/>
    <x v="14"/>
    <x v="0"/>
    <x v="1"/>
    <n v="72.28"/>
    <x v="180"/>
    <x v="180"/>
    <x v="3"/>
    <x v="4"/>
    <n v="132.47"/>
    <x v="180"/>
    <x v="1"/>
    <n v="27.49"/>
  </r>
  <r>
    <s v="CID182"/>
    <x v="178"/>
    <x v="8"/>
    <x v="2"/>
    <x v="2"/>
    <x v="0"/>
    <x v="2"/>
    <n v="49.57"/>
    <x v="181"/>
    <x v="181"/>
    <x v="2"/>
    <x v="3"/>
    <n v="92.32"/>
    <x v="181"/>
    <x v="2"/>
    <n v="22.76"/>
  </r>
  <r>
    <s v="CID183"/>
    <x v="179"/>
    <x v="3"/>
    <x v="0"/>
    <x v="0"/>
    <x v="1"/>
    <x v="5"/>
    <n v="94.57"/>
    <x v="182"/>
    <x v="182"/>
    <x v="0"/>
    <x v="0"/>
    <n v="153.1"/>
    <x v="182"/>
    <x v="1"/>
    <n v="21.02"/>
  </r>
  <r>
    <s v="CID184"/>
    <x v="180"/>
    <x v="6"/>
    <x v="6"/>
    <x v="20"/>
    <x v="2"/>
    <x v="5"/>
    <n v="62.17"/>
    <x v="183"/>
    <x v="183"/>
    <x v="1"/>
    <x v="0"/>
    <n v="214.82"/>
    <x v="183"/>
    <x v="3"/>
    <n v="28.27"/>
  </r>
  <r>
    <s v="CID185"/>
    <x v="181"/>
    <x v="9"/>
    <x v="5"/>
    <x v="15"/>
    <x v="0"/>
    <x v="0"/>
    <n v="2.7"/>
    <x v="184"/>
    <x v="184"/>
    <x v="1"/>
    <x v="2"/>
    <n v="251.54"/>
    <x v="184"/>
    <x v="0"/>
    <n v="33.770000000000003"/>
  </r>
  <r>
    <s v="CID186"/>
    <x v="182"/>
    <x v="12"/>
    <x v="6"/>
    <x v="17"/>
    <x v="0"/>
    <x v="0"/>
    <n v="81.709999999999994"/>
    <x v="185"/>
    <x v="185"/>
    <x v="1"/>
    <x v="2"/>
    <n v="69.75"/>
    <x v="185"/>
    <x v="2"/>
    <n v="28.48"/>
  </r>
  <r>
    <s v="CID187"/>
    <x v="183"/>
    <x v="5"/>
    <x v="2"/>
    <x v="19"/>
    <x v="0"/>
    <x v="2"/>
    <n v="76.2"/>
    <x v="186"/>
    <x v="186"/>
    <x v="1"/>
    <x v="1"/>
    <n v="144.29"/>
    <x v="186"/>
    <x v="0"/>
    <n v="30.54"/>
  </r>
  <r>
    <s v="CID188"/>
    <x v="184"/>
    <x v="11"/>
    <x v="4"/>
    <x v="16"/>
    <x v="2"/>
    <x v="1"/>
    <n v="97.76"/>
    <x v="187"/>
    <x v="187"/>
    <x v="0"/>
    <x v="0"/>
    <n v="107.44"/>
    <x v="187"/>
    <x v="3"/>
    <n v="27.13"/>
  </r>
  <r>
    <s v="CID189"/>
    <x v="185"/>
    <x v="3"/>
    <x v="0"/>
    <x v="11"/>
    <x v="0"/>
    <x v="2"/>
    <n v="4.26"/>
    <x v="188"/>
    <x v="188"/>
    <x v="2"/>
    <x v="1"/>
    <n v="53.91"/>
    <x v="188"/>
    <x v="1"/>
    <n v="31.28"/>
  </r>
  <r>
    <s v="CID190"/>
    <x v="186"/>
    <x v="2"/>
    <x v="1"/>
    <x v="14"/>
    <x v="0"/>
    <x v="4"/>
    <n v="57.1"/>
    <x v="189"/>
    <x v="189"/>
    <x v="2"/>
    <x v="0"/>
    <n v="145.96"/>
    <x v="189"/>
    <x v="0"/>
    <n v="27.51"/>
  </r>
  <r>
    <s v="CID191"/>
    <x v="187"/>
    <x v="1"/>
    <x v="1"/>
    <x v="14"/>
    <x v="1"/>
    <x v="0"/>
    <n v="60.91"/>
    <x v="190"/>
    <x v="190"/>
    <x v="1"/>
    <x v="1"/>
    <n v="292.23"/>
    <x v="190"/>
    <x v="4"/>
    <n v="31.75"/>
  </r>
  <r>
    <s v="CID192"/>
    <x v="188"/>
    <x v="3"/>
    <x v="6"/>
    <x v="18"/>
    <x v="2"/>
    <x v="3"/>
    <n v="19.39"/>
    <x v="191"/>
    <x v="191"/>
    <x v="1"/>
    <x v="4"/>
    <n v="71.42"/>
    <x v="191"/>
    <x v="1"/>
    <n v="30.7"/>
  </r>
  <r>
    <s v="CID193"/>
    <x v="189"/>
    <x v="8"/>
    <x v="6"/>
    <x v="18"/>
    <x v="0"/>
    <x v="4"/>
    <n v="74.23"/>
    <x v="192"/>
    <x v="192"/>
    <x v="0"/>
    <x v="0"/>
    <n v="72.88"/>
    <x v="192"/>
    <x v="2"/>
    <n v="25.4"/>
  </r>
  <r>
    <s v="CID194"/>
    <x v="190"/>
    <x v="2"/>
    <x v="6"/>
    <x v="17"/>
    <x v="2"/>
    <x v="3"/>
    <n v="56.14"/>
    <x v="193"/>
    <x v="193"/>
    <x v="0"/>
    <x v="1"/>
    <n v="56.57"/>
    <x v="193"/>
    <x v="0"/>
    <n v="28.95"/>
  </r>
  <r>
    <s v="CID195"/>
    <x v="191"/>
    <x v="4"/>
    <x v="1"/>
    <x v="14"/>
    <x v="2"/>
    <x v="5"/>
    <n v="72.760000000000005"/>
    <x v="194"/>
    <x v="194"/>
    <x v="3"/>
    <x v="4"/>
    <n v="192.99"/>
    <x v="194"/>
    <x v="2"/>
    <n v="22.54"/>
  </r>
  <r>
    <s v="CID196"/>
    <x v="192"/>
    <x v="2"/>
    <x v="2"/>
    <x v="2"/>
    <x v="1"/>
    <x v="4"/>
    <n v="44.03"/>
    <x v="195"/>
    <x v="195"/>
    <x v="1"/>
    <x v="3"/>
    <n v="245.67"/>
    <x v="195"/>
    <x v="1"/>
    <n v="30.81"/>
  </r>
  <r>
    <s v="CID197"/>
    <x v="193"/>
    <x v="6"/>
    <x v="5"/>
    <x v="7"/>
    <x v="1"/>
    <x v="4"/>
    <n v="31.16"/>
    <x v="196"/>
    <x v="196"/>
    <x v="2"/>
    <x v="3"/>
    <n v="260.39999999999998"/>
    <x v="196"/>
    <x v="4"/>
    <n v="26.6"/>
  </r>
  <r>
    <s v="CID198"/>
    <x v="194"/>
    <x v="10"/>
    <x v="6"/>
    <x v="18"/>
    <x v="0"/>
    <x v="2"/>
    <n v="20.88"/>
    <x v="197"/>
    <x v="197"/>
    <x v="1"/>
    <x v="2"/>
    <n v="292.18"/>
    <x v="197"/>
    <x v="2"/>
    <n v="34.520000000000003"/>
  </r>
  <r>
    <s v="CID199"/>
    <x v="195"/>
    <x v="9"/>
    <x v="2"/>
    <x v="2"/>
    <x v="2"/>
    <x v="0"/>
    <n v="12.27"/>
    <x v="198"/>
    <x v="198"/>
    <x v="3"/>
    <x v="1"/>
    <n v="220.43"/>
    <x v="198"/>
    <x v="2"/>
    <n v="34.14"/>
  </r>
  <r>
    <s v="CID200"/>
    <x v="196"/>
    <x v="8"/>
    <x v="4"/>
    <x v="16"/>
    <x v="1"/>
    <x v="3"/>
    <n v="67.62"/>
    <x v="199"/>
    <x v="199"/>
    <x v="2"/>
    <x v="1"/>
    <n v="110.51"/>
    <x v="199"/>
    <x v="2"/>
    <n v="31.84"/>
  </r>
  <r>
    <s v="CID201"/>
    <x v="197"/>
    <x v="12"/>
    <x v="5"/>
    <x v="8"/>
    <x v="2"/>
    <x v="1"/>
    <n v="51.15"/>
    <x v="200"/>
    <x v="200"/>
    <x v="1"/>
    <x v="3"/>
    <n v="185.91"/>
    <x v="200"/>
    <x v="4"/>
    <n v="30.52"/>
  </r>
  <r>
    <s v="CID202"/>
    <x v="198"/>
    <x v="5"/>
    <x v="0"/>
    <x v="0"/>
    <x v="1"/>
    <x v="2"/>
    <n v="66.8"/>
    <x v="201"/>
    <x v="201"/>
    <x v="0"/>
    <x v="1"/>
    <n v="190.81"/>
    <x v="201"/>
    <x v="2"/>
    <n v="34.5"/>
  </r>
  <r>
    <s v="CID203"/>
    <x v="199"/>
    <x v="5"/>
    <x v="1"/>
    <x v="1"/>
    <x v="2"/>
    <x v="4"/>
    <n v="51.56"/>
    <x v="202"/>
    <x v="202"/>
    <x v="3"/>
    <x v="4"/>
    <n v="161.44"/>
    <x v="202"/>
    <x v="3"/>
    <n v="30.36"/>
  </r>
  <r>
    <s v="CID204"/>
    <x v="200"/>
    <x v="5"/>
    <x v="1"/>
    <x v="14"/>
    <x v="2"/>
    <x v="3"/>
    <n v="92.13"/>
    <x v="203"/>
    <x v="203"/>
    <x v="3"/>
    <x v="1"/>
    <n v="137.08000000000001"/>
    <x v="203"/>
    <x v="1"/>
    <n v="27.82"/>
  </r>
  <r>
    <s v="CID205"/>
    <x v="201"/>
    <x v="8"/>
    <x v="1"/>
    <x v="14"/>
    <x v="0"/>
    <x v="3"/>
    <n v="32.57"/>
    <x v="204"/>
    <x v="204"/>
    <x v="0"/>
    <x v="2"/>
    <n v="55.65"/>
    <x v="204"/>
    <x v="0"/>
    <n v="30.16"/>
  </r>
  <r>
    <s v="CID206"/>
    <x v="26"/>
    <x v="3"/>
    <x v="5"/>
    <x v="7"/>
    <x v="1"/>
    <x v="0"/>
    <n v="56.43"/>
    <x v="205"/>
    <x v="205"/>
    <x v="3"/>
    <x v="1"/>
    <n v="249.44"/>
    <x v="205"/>
    <x v="1"/>
    <n v="29.61"/>
  </r>
  <r>
    <s v="CID207"/>
    <x v="202"/>
    <x v="12"/>
    <x v="1"/>
    <x v="10"/>
    <x v="1"/>
    <x v="3"/>
    <n v="59.63"/>
    <x v="206"/>
    <x v="206"/>
    <x v="3"/>
    <x v="2"/>
    <n v="101.45"/>
    <x v="206"/>
    <x v="0"/>
    <n v="28.66"/>
  </r>
  <r>
    <s v="CID208"/>
    <x v="203"/>
    <x v="1"/>
    <x v="2"/>
    <x v="2"/>
    <x v="2"/>
    <x v="5"/>
    <n v="26.97"/>
    <x v="207"/>
    <x v="207"/>
    <x v="2"/>
    <x v="1"/>
    <n v="199.24"/>
    <x v="207"/>
    <x v="3"/>
    <n v="21.71"/>
  </r>
  <r>
    <s v="CID209"/>
    <x v="204"/>
    <x v="11"/>
    <x v="5"/>
    <x v="7"/>
    <x v="0"/>
    <x v="0"/>
    <n v="91.95"/>
    <x v="208"/>
    <x v="208"/>
    <x v="3"/>
    <x v="2"/>
    <n v="128.30000000000001"/>
    <x v="208"/>
    <x v="0"/>
    <n v="22.75"/>
  </r>
  <r>
    <s v="CID210"/>
    <x v="205"/>
    <x v="4"/>
    <x v="5"/>
    <x v="8"/>
    <x v="0"/>
    <x v="4"/>
    <n v="57.91"/>
    <x v="209"/>
    <x v="209"/>
    <x v="1"/>
    <x v="4"/>
    <n v="208.88"/>
    <x v="209"/>
    <x v="1"/>
    <n v="28.32"/>
  </r>
  <r>
    <s v="CID211"/>
    <x v="206"/>
    <x v="10"/>
    <x v="6"/>
    <x v="17"/>
    <x v="2"/>
    <x v="1"/>
    <n v="6.31"/>
    <x v="210"/>
    <x v="210"/>
    <x v="0"/>
    <x v="1"/>
    <n v="171.15"/>
    <x v="210"/>
    <x v="2"/>
    <n v="34.46"/>
  </r>
  <r>
    <s v="CID212"/>
    <x v="207"/>
    <x v="6"/>
    <x v="3"/>
    <x v="12"/>
    <x v="2"/>
    <x v="2"/>
    <n v="84.15"/>
    <x v="211"/>
    <x v="211"/>
    <x v="0"/>
    <x v="2"/>
    <n v="191.35"/>
    <x v="211"/>
    <x v="1"/>
    <n v="24.38"/>
  </r>
  <r>
    <s v="CID213"/>
    <x v="208"/>
    <x v="2"/>
    <x v="5"/>
    <x v="8"/>
    <x v="2"/>
    <x v="1"/>
    <n v="74.510000000000005"/>
    <x v="212"/>
    <x v="212"/>
    <x v="0"/>
    <x v="3"/>
    <n v="193.18"/>
    <x v="212"/>
    <x v="3"/>
    <n v="32.35"/>
  </r>
  <r>
    <s v="CID214"/>
    <x v="113"/>
    <x v="7"/>
    <x v="4"/>
    <x v="4"/>
    <x v="0"/>
    <x v="3"/>
    <n v="55.09"/>
    <x v="213"/>
    <x v="213"/>
    <x v="0"/>
    <x v="1"/>
    <n v="234"/>
    <x v="213"/>
    <x v="1"/>
    <n v="24.47"/>
  </r>
  <r>
    <s v="CID215"/>
    <x v="209"/>
    <x v="5"/>
    <x v="2"/>
    <x v="2"/>
    <x v="2"/>
    <x v="5"/>
    <n v="77.790000000000006"/>
    <x v="214"/>
    <x v="214"/>
    <x v="2"/>
    <x v="2"/>
    <n v="265.26"/>
    <x v="214"/>
    <x v="2"/>
    <n v="22.49"/>
  </r>
  <r>
    <s v="CID216"/>
    <x v="210"/>
    <x v="7"/>
    <x v="4"/>
    <x v="4"/>
    <x v="1"/>
    <x v="1"/>
    <n v="35.729999999999997"/>
    <x v="215"/>
    <x v="215"/>
    <x v="3"/>
    <x v="0"/>
    <n v="130.91"/>
    <x v="215"/>
    <x v="4"/>
    <n v="28.59"/>
  </r>
  <r>
    <s v="CID217"/>
    <x v="211"/>
    <x v="0"/>
    <x v="6"/>
    <x v="18"/>
    <x v="2"/>
    <x v="2"/>
    <n v="13.56"/>
    <x v="216"/>
    <x v="216"/>
    <x v="3"/>
    <x v="1"/>
    <n v="86.56"/>
    <x v="216"/>
    <x v="1"/>
    <n v="31.42"/>
  </r>
  <r>
    <s v="CID218"/>
    <x v="212"/>
    <x v="11"/>
    <x v="6"/>
    <x v="20"/>
    <x v="2"/>
    <x v="2"/>
    <n v="42.01"/>
    <x v="217"/>
    <x v="217"/>
    <x v="0"/>
    <x v="4"/>
    <n v="150.71"/>
    <x v="217"/>
    <x v="4"/>
    <n v="26.82"/>
  </r>
  <r>
    <s v="CID219"/>
    <x v="125"/>
    <x v="7"/>
    <x v="5"/>
    <x v="7"/>
    <x v="0"/>
    <x v="5"/>
    <n v="73.36"/>
    <x v="218"/>
    <x v="218"/>
    <x v="2"/>
    <x v="2"/>
    <n v="262.52999999999997"/>
    <x v="218"/>
    <x v="2"/>
    <n v="23.27"/>
  </r>
  <r>
    <s v="CID220"/>
    <x v="213"/>
    <x v="10"/>
    <x v="3"/>
    <x v="5"/>
    <x v="2"/>
    <x v="0"/>
    <n v="55.18"/>
    <x v="219"/>
    <x v="219"/>
    <x v="1"/>
    <x v="0"/>
    <n v="247.08"/>
    <x v="219"/>
    <x v="0"/>
    <n v="20.69"/>
  </r>
  <r>
    <s v="CID221"/>
    <x v="214"/>
    <x v="6"/>
    <x v="1"/>
    <x v="1"/>
    <x v="2"/>
    <x v="5"/>
    <n v="99.19"/>
    <x v="220"/>
    <x v="220"/>
    <x v="3"/>
    <x v="4"/>
    <n v="270.54000000000002"/>
    <x v="220"/>
    <x v="4"/>
    <n v="21.4"/>
  </r>
  <r>
    <s v="CID222"/>
    <x v="215"/>
    <x v="11"/>
    <x v="1"/>
    <x v="14"/>
    <x v="0"/>
    <x v="4"/>
    <n v="6.13"/>
    <x v="221"/>
    <x v="221"/>
    <x v="3"/>
    <x v="0"/>
    <n v="157.31"/>
    <x v="221"/>
    <x v="0"/>
    <n v="20.02"/>
  </r>
  <r>
    <s v="CID223"/>
    <x v="216"/>
    <x v="1"/>
    <x v="6"/>
    <x v="20"/>
    <x v="0"/>
    <x v="2"/>
    <n v="45.06"/>
    <x v="222"/>
    <x v="222"/>
    <x v="2"/>
    <x v="0"/>
    <n v="254.28"/>
    <x v="222"/>
    <x v="2"/>
    <n v="30.41"/>
  </r>
  <r>
    <s v="CID224"/>
    <x v="217"/>
    <x v="5"/>
    <x v="6"/>
    <x v="18"/>
    <x v="0"/>
    <x v="5"/>
    <n v="11.22"/>
    <x v="223"/>
    <x v="223"/>
    <x v="2"/>
    <x v="2"/>
    <n v="84.28"/>
    <x v="223"/>
    <x v="1"/>
    <n v="29.62"/>
  </r>
  <r>
    <s v="CID225"/>
    <x v="218"/>
    <x v="12"/>
    <x v="1"/>
    <x v="10"/>
    <x v="1"/>
    <x v="1"/>
    <n v="65.349999999999994"/>
    <x v="224"/>
    <x v="224"/>
    <x v="3"/>
    <x v="2"/>
    <n v="207.02"/>
    <x v="224"/>
    <x v="2"/>
    <n v="29.24"/>
  </r>
  <r>
    <s v="CID226"/>
    <x v="219"/>
    <x v="2"/>
    <x v="1"/>
    <x v="1"/>
    <x v="1"/>
    <x v="1"/>
    <n v="73.27"/>
    <x v="225"/>
    <x v="225"/>
    <x v="1"/>
    <x v="3"/>
    <n v="128.63"/>
    <x v="225"/>
    <x v="4"/>
    <n v="29.67"/>
  </r>
  <r>
    <s v="CID227"/>
    <x v="220"/>
    <x v="8"/>
    <x v="5"/>
    <x v="15"/>
    <x v="0"/>
    <x v="0"/>
    <n v="78.12"/>
    <x v="226"/>
    <x v="226"/>
    <x v="2"/>
    <x v="0"/>
    <n v="101.36"/>
    <x v="226"/>
    <x v="1"/>
    <n v="31.22"/>
  </r>
  <r>
    <s v="CID228"/>
    <x v="221"/>
    <x v="6"/>
    <x v="4"/>
    <x v="4"/>
    <x v="2"/>
    <x v="5"/>
    <n v="24.87"/>
    <x v="227"/>
    <x v="227"/>
    <x v="0"/>
    <x v="1"/>
    <n v="182.07"/>
    <x v="227"/>
    <x v="4"/>
    <n v="34.01"/>
  </r>
  <r>
    <s v="CID229"/>
    <x v="222"/>
    <x v="4"/>
    <x v="4"/>
    <x v="9"/>
    <x v="2"/>
    <x v="1"/>
    <n v="68.61"/>
    <x v="228"/>
    <x v="228"/>
    <x v="0"/>
    <x v="1"/>
    <n v="54.17"/>
    <x v="228"/>
    <x v="4"/>
    <n v="23.24"/>
  </r>
  <r>
    <s v="CID230"/>
    <x v="223"/>
    <x v="11"/>
    <x v="5"/>
    <x v="8"/>
    <x v="0"/>
    <x v="1"/>
    <n v="76.94"/>
    <x v="229"/>
    <x v="229"/>
    <x v="1"/>
    <x v="4"/>
    <n v="70.61"/>
    <x v="229"/>
    <x v="3"/>
    <n v="22.29"/>
  </r>
  <r>
    <s v="CID231"/>
    <x v="224"/>
    <x v="1"/>
    <x v="1"/>
    <x v="10"/>
    <x v="1"/>
    <x v="1"/>
    <n v="33.35"/>
    <x v="230"/>
    <x v="230"/>
    <x v="0"/>
    <x v="1"/>
    <n v="127.54"/>
    <x v="230"/>
    <x v="1"/>
    <n v="20.87"/>
  </r>
  <r>
    <s v="CID232"/>
    <x v="225"/>
    <x v="12"/>
    <x v="1"/>
    <x v="14"/>
    <x v="0"/>
    <x v="5"/>
    <n v="31.62"/>
    <x v="231"/>
    <x v="231"/>
    <x v="3"/>
    <x v="4"/>
    <n v="79.86"/>
    <x v="231"/>
    <x v="0"/>
    <n v="22.46"/>
  </r>
  <r>
    <s v="CID233"/>
    <x v="125"/>
    <x v="7"/>
    <x v="5"/>
    <x v="15"/>
    <x v="0"/>
    <x v="0"/>
    <n v="17.53"/>
    <x v="232"/>
    <x v="232"/>
    <x v="2"/>
    <x v="4"/>
    <n v="233.23"/>
    <x v="232"/>
    <x v="0"/>
    <n v="25.03"/>
  </r>
  <r>
    <s v="CID234"/>
    <x v="226"/>
    <x v="9"/>
    <x v="5"/>
    <x v="7"/>
    <x v="0"/>
    <x v="1"/>
    <n v="63.13"/>
    <x v="233"/>
    <x v="233"/>
    <x v="2"/>
    <x v="0"/>
    <n v="63.86"/>
    <x v="233"/>
    <x v="1"/>
    <n v="25.52"/>
  </r>
  <r>
    <s v="CID235"/>
    <x v="227"/>
    <x v="8"/>
    <x v="5"/>
    <x v="15"/>
    <x v="1"/>
    <x v="4"/>
    <n v="74.34"/>
    <x v="234"/>
    <x v="234"/>
    <x v="0"/>
    <x v="0"/>
    <n v="111.14"/>
    <x v="234"/>
    <x v="2"/>
    <n v="33.799999999999997"/>
  </r>
  <r>
    <s v="CID236"/>
    <x v="133"/>
    <x v="8"/>
    <x v="5"/>
    <x v="15"/>
    <x v="0"/>
    <x v="3"/>
    <n v="23.23"/>
    <x v="235"/>
    <x v="235"/>
    <x v="2"/>
    <x v="0"/>
    <n v="117.81"/>
    <x v="235"/>
    <x v="4"/>
    <n v="21.79"/>
  </r>
  <r>
    <s v="CID237"/>
    <x v="228"/>
    <x v="7"/>
    <x v="6"/>
    <x v="17"/>
    <x v="0"/>
    <x v="5"/>
    <n v="95.45"/>
    <x v="236"/>
    <x v="236"/>
    <x v="1"/>
    <x v="1"/>
    <n v="266.51"/>
    <x v="236"/>
    <x v="4"/>
    <n v="24.91"/>
  </r>
  <r>
    <s v="CID238"/>
    <x v="229"/>
    <x v="1"/>
    <x v="1"/>
    <x v="14"/>
    <x v="2"/>
    <x v="1"/>
    <n v="78.67"/>
    <x v="237"/>
    <x v="237"/>
    <x v="3"/>
    <x v="3"/>
    <n v="165.98"/>
    <x v="237"/>
    <x v="2"/>
    <n v="34.97"/>
  </r>
  <r>
    <s v="CID239"/>
    <x v="230"/>
    <x v="2"/>
    <x v="4"/>
    <x v="4"/>
    <x v="1"/>
    <x v="3"/>
    <n v="3.37"/>
    <x v="238"/>
    <x v="238"/>
    <x v="0"/>
    <x v="0"/>
    <n v="287.75"/>
    <x v="238"/>
    <x v="2"/>
    <n v="32.74"/>
  </r>
  <r>
    <s v="CID240"/>
    <x v="231"/>
    <x v="1"/>
    <x v="6"/>
    <x v="20"/>
    <x v="2"/>
    <x v="3"/>
    <n v="96.16"/>
    <x v="239"/>
    <x v="239"/>
    <x v="3"/>
    <x v="1"/>
    <n v="227.91"/>
    <x v="239"/>
    <x v="1"/>
    <n v="33.46"/>
  </r>
  <r>
    <s v="CID241"/>
    <x v="232"/>
    <x v="6"/>
    <x v="0"/>
    <x v="11"/>
    <x v="0"/>
    <x v="5"/>
    <n v="58.5"/>
    <x v="240"/>
    <x v="240"/>
    <x v="1"/>
    <x v="2"/>
    <n v="68.709999999999994"/>
    <x v="240"/>
    <x v="2"/>
    <n v="29.94"/>
  </r>
  <r>
    <s v="CID242"/>
    <x v="233"/>
    <x v="10"/>
    <x v="2"/>
    <x v="2"/>
    <x v="2"/>
    <x v="2"/>
    <n v="83.36"/>
    <x v="241"/>
    <x v="241"/>
    <x v="1"/>
    <x v="0"/>
    <n v="117.99"/>
    <x v="241"/>
    <x v="1"/>
    <n v="22.04"/>
  </r>
  <r>
    <s v="CID243"/>
    <x v="234"/>
    <x v="2"/>
    <x v="6"/>
    <x v="17"/>
    <x v="2"/>
    <x v="3"/>
    <n v="32.090000000000003"/>
    <x v="242"/>
    <x v="242"/>
    <x v="2"/>
    <x v="0"/>
    <n v="291.16000000000003"/>
    <x v="242"/>
    <x v="4"/>
    <n v="26.95"/>
  </r>
  <r>
    <s v="CID244"/>
    <x v="235"/>
    <x v="9"/>
    <x v="6"/>
    <x v="20"/>
    <x v="0"/>
    <x v="2"/>
    <n v="60.73"/>
    <x v="243"/>
    <x v="243"/>
    <x v="2"/>
    <x v="4"/>
    <n v="87.08"/>
    <x v="243"/>
    <x v="4"/>
    <n v="25.94"/>
  </r>
  <r>
    <s v="CID245"/>
    <x v="236"/>
    <x v="0"/>
    <x v="2"/>
    <x v="13"/>
    <x v="2"/>
    <x v="3"/>
    <n v="56.04"/>
    <x v="244"/>
    <x v="244"/>
    <x v="0"/>
    <x v="2"/>
    <n v="165.51"/>
    <x v="244"/>
    <x v="1"/>
    <n v="21.82"/>
  </r>
  <r>
    <s v="CID246"/>
    <x v="237"/>
    <x v="4"/>
    <x v="6"/>
    <x v="17"/>
    <x v="2"/>
    <x v="2"/>
    <n v="63.4"/>
    <x v="245"/>
    <x v="245"/>
    <x v="2"/>
    <x v="2"/>
    <n v="279.36"/>
    <x v="245"/>
    <x v="0"/>
    <n v="22.97"/>
  </r>
  <r>
    <s v="CID247"/>
    <x v="238"/>
    <x v="5"/>
    <x v="1"/>
    <x v="14"/>
    <x v="1"/>
    <x v="3"/>
    <n v="6.01"/>
    <x v="246"/>
    <x v="246"/>
    <x v="1"/>
    <x v="2"/>
    <n v="255.42"/>
    <x v="246"/>
    <x v="0"/>
    <n v="25.74"/>
  </r>
  <r>
    <s v="CID248"/>
    <x v="239"/>
    <x v="2"/>
    <x v="2"/>
    <x v="13"/>
    <x v="2"/>
    <x v="0"/>
    <n v="45.16"/>
    <x v="247"/>
    <x v="247"/>
    <x v="3"/>
    <x v="4"/>
    <n v="211.82"/>
    <x v="247"/>
    <x v="3"/>
    <n v="27.19"/>
  </r>
  <r>
    <s v="CID249"/>
    <x v="240"/>
    <x v="4"/>
    <x v="3"/>
    <x v="3"/>
    <x v="1"/>
    <x v="2"/>
    <n v="88.58"/>
    <x v="248"/>
    <x v="248"/>
    <x v="0"/>
    <x v="4"/>
    <n v="297.35000000000002"/>
    <x v="248"/>
    <x v="4"/>
    <n v="27.2"/>
  </r>
  <r>
    <s v="CID250"/>
    <x v="241"/>
    <x v="10"/>
    <x v="5"/>
    <x v="15"/>
    <x v="2"/>
    <x v="0"/>
    <n v="18.8"/>
    <x v="249"/>
    <x v="249"/>
    <x v="3"/>
    <x v="3"/>
    <n v="57.33"/>
    <x v="249"/>
    <x v="4"/>
    <n v="20.88"/>
  </r>
  <r>
    <s v="CID251"/>
    <x v="242"/>
    <x v="1"/>
    <x v="2"/>
    <x v="19"/>
    <x v="1"/>
    <x v="5"/>
    <n v="25.54"/>
    <x v="250"/>
    <x v="250"/>
    <x v="0"/>
    <x v="4"/>
    <n v="241.01"/>
    <x v="250"/>
    <x v="3"/>
    <n v="32.700000000000003"/>
  </r>
  <r>
    <s v="CID252"/>
    <x v="243"/>
    <x v="2"/>
    <x v="4"/>
    <x v="4"/>
    <x v="1"/>
    <x v="1"/>
    <n v="32.479999999999997"/>
    <x v="251"/>
    <x v="251"/>
    <x v="2"/>
    <x v="2"/>
    <n v="278.5"/>
    <x v="251"/>
    <x v="4"/>
    <n v="34.21"/>
  </r>
  <r>
    <s v="CID253"/>
    <x v="244"/>
    <x v="7"/>
    <x v="5"/>
    <x v="7"/>
    <x v="2"/>
    <x v="1"/>
    <n v="31.6"/>
    <x v="252"/>
    <x v="252"/>
    <x v="0"/>
    <x v="4"/>
    <n v="64.040000000000006"/>
    <x v="252"/>
    <x v="0"/>
    <n v="27.9"/>
  </r>
  <r>
    <s v="CID254"/>
    <x v="245"/>
    <x v="7"/>
    <x v="5"/>
    <x v="7"/>
    <x v="1"/>
    <x v="0"/>
    <n v="71.98"/>
    <x v="253"/>
    <x v="253"/>
    <x v="2"/>
    <x v="4"/>
    <n v="64.89"/>
    <x v="253"/>
    <x v="1"/>
    <n v="31.62"/>
  </r>
  <r>
    <s v="CID255"/>
    <x v="246"/>
    <x v="8"/>
    <x v="1"/>
    <x v="14"/>
    <x v="0"/>
    <x v="3"/>
    <n v="59.02"/>
    <x v="254"/>
    <x v="254"/>
    <x v="2"/>
    <x v="4"/>
    <n v="84.11"/>
    <x v="254"/>
    <x v="2"/>
    <n v="31.88"/>
  </r>
  <r>
    <s v="CID256"/>
    <x v="247"/>
    <x v="3"/>
    <x v="6"/>
    <x v="20"/>
    <x v="0"/>
    <x v="1"/>
    <n v="78.91"/>
    <x v="255"/>
    <x v="255"/>
    <x v="3"/>
    <x v="0"/>
    <n v="144.6"/>
    <x v="255"/>
    <x v="4"/>
    <n v="21.91"/>
  </r>
  <r>
    <s v="CID257"/>
    <x v="248"/>
    <x v="4"/>
    <x v="0"/>
    <x v="6"/>
    <x v="0"/>
    <x v="5"/>
    <n v="19.03"/>
    <x v="256"/>
    <x v="256"/>
    <x v="3"/>
    <x v="0"/>
    <n v="209.91"/>
    <x v="256"/>
    <x v="2"/>
    <n v="22.11"/>
  </r>
  <r>
    <s v="CID258"/>
    <x v="249"/>
    <x v="10"/>
    <x v="6"/>
    <x v="18"/>
    <x v="1"/>
    <x v="2"/>
    <n v="88.65"/>
    <x v="257"/>
    <x v="257"/>
    <x v="2"/>
    <x v="4"/>
    <n v="161.66"/>
    <x v="257"/>
    <x v="1"/>
    <n v="30.4"/>
  </r>
  <r>
    <s v="CID259"/>
    <x v="250"/>
    <x v="8"/>
    <x v="4"/>
    <x v="4"/>
    <x v="1"/>
    <x v="5"/>
    <n v="39.21"/>
    <x v="258"/>
    <x v="258"/>
    <x v="3"/>
    <x v="0"/>
    <n v="271.14"/>
    <x v="258"/>
    <x v="2"/>
    <n v="25.27"/>
  </r>
  <r>
    <s v="CID260"/>
    <x v="251"/>
    <x v="7"/>
    <x v="4"/>
    <x v="16"/>
    <x v="0"/>
    <x v="2"/>
    <n v="76.069999999999993"/>
    <x v="259"/>
    <x v="259"/>
    <x v="1"/>
    <x v="0"/>
    <n v="68.430000000000007"/>
    <x v="259"/>
    <x v="4"/>
    <n v="20.3"/>
  </r>
  <r>
    <s v="CID261"/>
    <x v="252"/>
    <x v="2"/>
    <x v="1"/>
    <x v="14"/>
    <x v="2"/>
    <x v="4"/>
    <n v="73.47"/>
    <x v="260"/>
    <x v="260"/>
    <x v="0"/>
    <x v="2"/>
    <n v="134.49"/>
    <x v="260"/>
    <x v="2"/>
    <n v="30.57"/>
  </r>
  <r>
    <s v="CID262"/>
    <x v="253"/>
    <x v="2"/>
    <x v="5"/>
    <x v="8"/>
    <x v="1"/>
    <x v="5"/>
    <n v="33.78"/>
    <x v="261"/>
    <x v="261"/>
    <x v="1"/>
    <x v="4"/>
    <n v="224.3"/>
    <x v="261"/>
    <x v="3"/>
    <n v="23.98"/>
  </r>
  <r>
    <s v="CID263"/>
    <x v="254"/>
    <x v="0"/>
    <x v="6"/>
    <x v="17"/>
    <x v="2"/>
    <x v="1"/>
    <n v="55.42"/>
    <x v="262"/>
    <x v="262"/>
    <x v="0"/>
    <x v="2"/>
    <n v="140.21"/>
    <x v="262"/>
    <x v="4"/>
    <n v="32.36"/>
  </r>
  <r>
    <s v="CID264"/>
    <x v="255"/>
    <x v="1"/>
    <x v="1"/>
    <x v="1"/>
    <x v="1"/>
    <x v="2"/>
    <n v="29.89"/>
    <x v="263"/>
    <x v="263"/>
    <x v="0"/>
    <x v="0"/>
    <n v="127.09"/>
    <x v="263"/>
    <x v="2"/>
    <n v="33.42"/>
  </r>
  <r>
    <s v="CID265"/>
    <x v="256"/>
    <x v="4"/>
    <x v="0"/>
    <x v="6"/>
    <x v="1"/>
    <x v="0"/>
    <n v="88.66"/>
    <x v="264"/>
    <x v="264"/>
    <x v="1"/>
    <x v="3"/>
    <n v="61.15"/>
    <x v="264"/>
    <x v="4"/>
    <n v="23.39"/>
  </r>
  <r>
    <s v="CID266"/>
    <x v="257"/>
    <x v="7"/>
    <x v="1"/>
    <x v="1"/>
    <x v="0"/>
    <x v="2"/>
    <n v="10.57"/>
    <x v="265"/>
    <x v="265"/>
    <x v="1"/>
    <x v="3"/>
    <n v="292.68"/>
    <x v="265"/>
    <x v="3"/>
    <n v="20.91"/>
  </r>
  <r>
    <s v="CID267"/>
    <x v="258"/>
    <x v="11"/>
    <x v="3"/>
    <x v="12"/>
    <x v="2"/>
    <x v="1"/>
    <n v="88.28"/>
    <x v="266"/>
    <x v="266"/>
    <x v="0"/>
    <x v="3"/>
    <n v="148.69999999999999"/>
    <x v="266"/>
    <x v="0"/>
    <n v="27.53"/>
  </r>
  <r>
    <s v="CID268"/>
    <x v="259"/>
    <x v="2"/>
    <x v="0"/>
    <x v="6"/>
    <x v="1"/>
    <x v="3"/>
    <n v="18.12"/>
    <x v="267"/>
    <x v="267"/>
    <x v="3"/>
    <x v="2"/>
    <n v="252.12"/>
    <x v="267"/>
    <x v="2"/>
    <n v="21.18"/>
  </r>
  <r>
    <s v="CID269"/>
    <x v="260"/>
    <x v="2"/>
    <x v="4"/>
    <x v="9"/>
    <x v="0"/>
    <x v="0"/>
    <n v="32.659999999999997"/>
    <x v="268"/>
    <x v="268"/>
    <x v="0"/>
    <x v="3"/>
    <n v="71.760000000000005"/>
    <x v="268"/>
    <x v="3"/>
    <n v="24.89"/>
  </r>
  <r>
    <s v="CID270"/>
    <x v="261"/>
    <x v="7"/>
    <x v="3"/>
    <x v="3"/>
    <x v="0"/>
    <x v="1"/>
    <n v="59.17"/>
    <x v="269"/>
    <x v="269"/>
    <x v="0"/>
    <x v="0"/>
    <n v="153.61000000000001"/>
    <x v="269"/>
    <x v="3"/>
    <n v="28.74"/>
  </r>
  <r>
    <s v="CID271"/>
    <x v="262"/>
    <x v="7"/>
    <x v="1"/>
    <x v="10"/>
    <x v="1"/>
    <x v="0"/>
    <n v="86.88"/>
    <x v="270"/>
    <x v="270"/>
    <x v="1"/>
    <x v="2"/>
    <n v="116.03"/>
    <x v="270"/>
    <x v="3"/>
    <n v="29.13"/>
  </r>
  <r>
    <s v="CID272"/>
    <x v="263"/>
    <x v="2"/>
    <x v="2"/>
    <x v="2"/>
    <x v="0"/>
    <x v="1"/>
    <n v="68.400000000000006"/>
    <x v="271"/>
    <x v="271"/>
    <x v="1"/>
    <x v="4"/>
    <n v="272.39"/>
    <x v="271"/>
    <x v="1"/>
    <n v="20.74"/>
  </r>
  <r>
    <s v="CID273"/>
    <x v="264"/>
    <x v="10"/>
    <x v="2"/>
    <x v="13"/>
    <x v="2"/>
    <x v="0"/>
    <n v="28.75"/>
    <x v="272"/>
    <x v="272"/>
    <x v="0"/>
    <x v="4"/>
    <n v="293.12"/>
    <x v="272"/>
    <x v="4"/>
    <n v="34.61"/>
  </r>
  <r>
    <s v="CID274"/>
    <x v="265"/>
    <x v="4"/>
    <x v="2"/>
    <x v="19"/>
    <x v="0"/>
    <x v="2"/>
    <n v="9.84"/>
    <x v="273"/>
    <x v="273"/>
    <x v="1"/>
    <x v="2"/>
    <n v="235.24"/>
    <x v="273"/>
    <x v="4"/>
    <n v="32.32"/>
  </r>
  <r>
    <s v="CID275"/>
    <x v="266"/>
    <x v="8"/>
    <x v="1"/>
    <x v="14"/>
    <x v="0"/>
    <x v="3"/>
    <n v="14.43"/>
    <x v="274"/>
    <x v="274"/>
    <x v="0"/>
    <x v="0"/>
    <n v="93.43"/>
    <x v="274"/>
    <x v="1"/>
    <n v="32.549999999999997"/>
  </r>
  <r>
    <s v="CID276"/>
    <x v="267"/>
    <x v="10"/>
    <x v="3"/>
    <x v="3"/>
    <x v="0"/>
    <x v="4"/>
    <n v="28.12"/>
    <x v="275"/>
    <x v="275"/>
    <x v="1"/>
    <x v="3"/>
    <n v="208.85"/>
    <x v="275"/>
    <x v="0"/>
    <n v="23.63"/>
  </r>
  <r>
    <s v="CID277"/>
    <x v="268"/>
    <x v="6"/>
    <x v="3"/>
    <x v="3"/>
    <x v="0"/>
    <x v="1"/>
    <n v="35.630000000000003"/>
    <x v="276"/>
    <x v="276"/>
    <x v="2"/>
    <x v="2"/>
    <n v="237.24"/>
    <x v="276"/>
    <x v="4"/>
    <n v="20.41"/>
  </r>
  <r>
    <s v="CID278"/>
    <x v="269"/>
    <x v="7"/>
    <x v="4"/>
    <x v="9"/>
    <x v="1"/>
    <x v="4"/>
    <n v="65.09"/>
    <x v="277"/>
    <x v="277"/>
    <x v="2"/>
    <x v="2"/>
    <n v="212.9"/>
    <x v="277"/>
    <x v="0"/>
    <n v="27.11"/>
  </r>
  <r>
    <s v="CID279"/>
    <x v="270"/>
    <x v="1"/>
    <x v="5"/>
    <x v="7"/>
    <x v="2"/>
    <x v="1"/>
    <n v="80.7"/>
    <x v="278"/>
    <x v="278"/>
    <x v="2"/>
    <x v="1"/>
    <n v="155.94999999999999"/>
    <x v="278"/>
    <x v="4"/>
    <n v="26.88"/>
  </r>
  <r>
    <s v="CID280"/>
    <x v="271"/>
    <x v="3"/>
    <x v="2"/>
    <x v="19"/>
    <x v="0"/>
    <x v="3"/>
    <n v="58.86"/>
    <x v="279"/>
    <x v="279"/>
    <x v="2"/>
    <x v="1"/>
    <n v="190.36"/>
    <x v="279"/>
    <x v="4"/>
    <n v="24.48"/>
  </r>
  <r>
    <s v="CID281"/>
    <x v="272"/>
    <x v="9"/>
    <x v="1"/>
    <x v="14"/>
    <x v="0"/>
    <x v="0"/>
    <n v="86.29"/>
    <x v="280"/>
    <x v="280"/>
    <x v="2"/>
    <x v="3"/>
    <n v="97.09"/>
    <x v="280"/>
    <x v="1"/>
    <n v="33.5"/>
  </r>
  <r>
    <s v="CID282"/>
    <x v="273"/>
    <x v="10"/>
    <x v="3"/>
    <x v="12"/>
    <x v="0"/>
    <x v="4"/>
    <n v="72.41"/>
    <x v="281"/>
    <x v="281"/>
    <x v="2"/>
    <x v="3"/>
    <n v="114.86"/>
    <x v="281"/>
    <x v="2"/>
    <n v="31.05"/>
  </r>
  <r>
    <s v="CID283"/>
    <x v="274"/>
    <x v="10"/>
    <x v="4"/>
    <x v="4"/>
    <x v="0"/>
    <x v="2"/>
    <n v="23.01"/>
    <x v="282"/>
    <x v="282"/>
    <x v="1"/>
    <x v="3"/>
    <n v="276.63"/>
    <x v="282"/>
    <x v="3"/>
    <n v="24.5"/>
  </r>
  <r>
    <s v="CID284"/>
    <x v="275"/>
    <x v="5"/>
    <x v="6"/>
    <x v="18"/>
    <x v="2"/>
    <x v="4"/>
    <n v="74.349999999999994"/>
    <x v="283"/>
    <x v="283"/>
    <x v="3"/>
    <x v="4"/>
    <n v="286.73"/>
    <x v="283"/>
    <x v="0"/>
    <n v="23.33"/>
  </r>
  <r>
    <s v="CID285"/>
    <x v="276"/>
    <x v="10"/>
    <x v="3"/>
    <x v="5"/>
    <x v="2"/>
    <x v="1"/>
    <n v="30.11"/>
    <x v="284"/>
    <x v="284"/>
    <x v="1"/>
    <x v="1"/>
    <n v="63.42"/>
    <x v="284"/>
    <x v="3"/>
    <n v="34.159999999999997"/>
  </r>
  <r>
    <s v="CID286"/>
    <x v="277"/>
    <x v="5"/>
    <x v="6"/>
    <x v="20"/>
    <x v="0"/>
    <x v="3"/>
    <n v="53.45"/>
    <x v="285"/>
    <x v="285"/>
    <x v="3"/>
    <x v="1"/>
    <n v="84.34"/>
    <x v="285"/>
    <x v="2"/>
    <n v="34.81"/>
  </r>
  <r>
    <s v="CID287"/>
    <x v="278"/>
    <x v="8"/>
    <x v="6"/>
    <x v="18"/>
    <x v="1"/>
    <x v="5"/>
    <n v="49.27"/>
    <x v="286"/>
    <x v="286"/>
    <x v="3"/>
    <x v="3"/>
    <n v="128.35"/>
    <x v="286"/>
    <x v="2"/>
    <n v="24.1"/>
  </r>
  <r>
    <s v="CID288"/>
    <x v="279"/>
    <x v="6"/>
    <x v="4"/>
    <x v="4"/>
    <x v="1"/>
    <x v="4"/>
    <n v="61.83"/>
    <x v="287"/>
    <x v="287"/>
    <x v="1"/>
    <x v="4"/>
    <n v="157.26"/>
    <x v="287"/>
    <x v="0"/>
    <n v="20.57"/>
  </r>
  <r>
    <s v="CID289"/>
    <x v="257"/>
    <x v="7"/>
    <x v="1"/>
    <x v="14"/>
    <x v="0"/>
    <x v="4"/>
    <n v="2.77"/>
    <x v="288"/>
    <x v="288"/>
    <x v="3"/>
    <x v="3"/>
    <n v="106.57"/>
    <x v="288"/>
    <x v="4"/>
    <n v="21.93"/>
  </r>
  <r>
    <s v="CID290"/>
    <x v="280"/>
    <x v="2"/>
    <x v="5"/>
    <x v="8"/>
    <x v="1"/>
    <x v="5"/>
    <n v="30.52"/>
    <x v="289"/>
    <x v="289"/>
    <x v="2"/>
    <x v="4"/>
    <n v="158.41999999999999"/>
    <x v="289"/>
    <x v="1"/>
    <n v="25.14"/>
  </r>
  <r>
    <s v="CID291"/>
    <x v="208"/>
    <x v="2"/>
    <x v="4"/>
    <x v="4"/>
    <x v="2"/>
    <x v="5"/>
    <n v="23.61"/>
    <x v="290"/>
    <x v="290"/>
    <x v="3"/>
    <x v="0"/>
    <n v="102.8"/>
    <x v="290"/>
    <x v="3"/>
    <n v="22.53"/>
  </r>
  <r>
    <s v="CID292"/>
    <x v="281"/>
    <x v="9"/>
    <x v="3"/>
    <x v="12"/>
    <x v="0"/>
    <x v="1"/>
    <n v="5.81"/>
    <x v="291"/>
    <x v="291"/>
    <x v="0"/>
    <x v="0"/>
    <n v="213.39"/>
    <x v="291"/>
    <x v="0"/>
    <n v="26.25"/>
  </r>
  <r>
    <s v="CID293"/>
    <x v="282"/>
    <x v="6"/>
    <x v="5"/>
    <x v="8"/>
    <x v="0"/>
    <x v="4"/>
    <n v="21.34"/>
    <x v="292"/>
    <x v="292"/>
    <x v="0"/>
    <x v="2"/>
    <n v="125.28"/>
    <x v="292"/>
    <x v="3"/>
    <n v="24.05"/>
  </r>
  <r>
    <s v="CID294"/>
    <x v="283"/>
    <x v="3"/>
    <x v="3"/>
    <x v="3"/>
    <x v="0"/>
    <x v="1"/>
    <n v="12.66"/>
    <x v="293"/>
    <x v="293"/>
    <x v="0"/>
    <x v="4"/>
    <n v="174.43"/>
    <x v="293"/>
    <x v="4"/>
    <n v="32.47"/>
  </r>
  <r>
    <s v="CID295"/>
    <x v="284"/>
    <x v="9"/>
    <x v="0"/>
    <x v="11"/>
    <x v="1"/>
    <x v="5"/>
    <n v="55.27"/>
    <x v="281"/>
    <x v="294"/>
    <x v="1"/>
    <x v="1"/>
    <n v="132.65"/>
    <x v="294"/>
    <x v="0"/>
    <n v="33.6"/>
  </r>
  <r>
    <s v="CID296"/>
    <x v="285"/>
    <x v="7"/>
    <x v="6"/>
    <x v="17"/>
    <x v="0"/>
    <x v="5"/>
    <n v="72.63"/>
    <x v="294"/>
    <x v="295"/>
    <x v="2"/>
    <x v="0"/>
    <n v="211.08"/>
    <x v="295"/>
    <x v="4"/>
    <n v="23.96"/>
  </r>
  <r>
    <s v="CID297"/>
    <x v="286"/>
    <x v="0"/>
    <x v="4"/>
    <x v="4"/>
    <x v="2"/>
    <x v="0"/>
    <n v="80.36"/>
    <x v="295"/>
    <x v="296"/>
    <x v="0"/>
    <x v="2"/>
    <n v="73.75"/>
    <x v="296"/>
    <x v="0"/>
    <n v="20.149999999999999"/>
  </r>
  <r>
    <s v="CID298"/>
    <x v="287"/>
    <x v="6"/>
    <x v="2"/>
    <x v="2"/>
    <x v="0"/>
    <x v="0"/>
    <n v="87.97"/>
    <x v="296"/>
    <x v="297"/>
    <x v="2"/>
    <x v="1"/>
    <n v="95.72"/>
    <x v="297"/>
    <x v="2"/>
    <n v="24.08"/>
  </r>
  <r>
    <s v="CID299"/>
    <x v="128"/>
    <x v="11"/>
    <x v="4"/>
    <x v="16"/>
    <x v="1"/>
    <x v="5"/>
    <n v="14.12"/>
    <x v="297"/>
    <x v="298"/>
    <x v="3"/>
    <x v="2"/>
    <n v="75.930000000000007"/>
    <x v="298"/>
    <x v="2"/>
    <n v="32.03"/>
  </r>
  <r>
    <s v="CID300"/>
    <x v="288"/>
    <x v="7"/>
    <x v="5"/>
    <x v="8"/>
    <x v="2"/>
    <x v="1"/>
    <n v="3.85"/>
    <x v="298"/>
    <x v="299"/>
    <x v="3"/>
    <x v="4"/>
    <n v="170.77"/>
    <x v="299"/>
    <x v="2"/>
    <n v="26.61"/>
  </r>
  <r>
    <s v="CID301"/>
    <x v="289"/>
    <x v="0"/>
    <x v="0"/>
    <x v="11"/>
    <x v="0"/>
    <x v="2"/>
    <n v="52.96"/>
    <x v="299"/>
    <x v="300"/>
    <x v="3"/>
    <x v="3"/>
    <n v="294.47000000000003"/>
    <x v="300"/>
    <x v="4"/>
    <n v="27.79"/>
  </r>
  <r>
    <s v="CID302"/>
    <x v="290"/>
    <x v="11"/>
    <x v="1"/>
    <x v="14"/>
    <x v="0"/>
    <x v="4"/>
    <n v="48.71"/>
    <x v="300"/>
    <x v="301"/>
    <x v="1"/>
    <x v="2"/>
    <n v="87.16"/>
    <x v="301"/>
    <x v="3"/>
    <n v="20.82"/>
  </r>
  <r>
    <s v="CID303"/>
    <x v="291"/>
    <x v="6"/>
    <x v="5"/>
    <x v="8"/>
    <x v="1"/>
    <x v="5"/>
    <n v="75.39"/>
    <x v="301"/>
    <x v="302"/>
    <x v="2"/>
    <x v="1"/>
    <n v="292.54000000000002"/>
    <x v="302"/>
    <x v="1"/>
    <n v="28.26"/>
  </r>
  <r>
    <s v="CID304"/>
    <x v="292"/>
    <x v="5"/>
    <x v="4"/>
    <x v="4"/>
    <x v="2"/>
    <x v="3"/>
    <n v="80.319999999999993"/>
    <x v="302"/>
    <x v="303"/>
    <x v="1"/>
    <x v="0"/>
    <n v="161.77000000000001"/>
    <x v="303"/>
    <x v="2"/>
    <n v="31.18"/>
  </r>
  <r>
    <s v="CID305"/>
    <x v="293"/>
    <x v="0"/>
    <x v="3"/>
    <x v="5"/>
    <x v="0"/>
    <x v="1"/>
    <n v="1.02"/>
    <x v="303"/>
    <x v="304"/>
    <x v="2"/>
    <x v="0"/>
    <n v="272.52999999999997"/>
    <x v="304"/>
    <x v="2"/>
    <n v="34.26"/>
  </r>
  <r>
    <s v="CID306"/>
    <x v="294"/>
    <x v="6"/>
    <x v="4"/>
    <x v="4"/>
    <x v="2"/>
    <x v="1"/>
    <n v="76.97"/>
    <x v="304"/>
    <x v="305"/>
    <x v="2"/>
    <x v="4"/>
    <n v="228.98"/>
    <x v="305"/>
    <x v="1"/>
    <n v="20.03"/>
  </r>
  <r>
    <s v="CID307"/>
    <x v="295"/>
    <x v="10"/>
    <x v="5"/>
    <x v="15"/>
    <x v="0"/>
    <x v="5"/>
    <n v="5.53"/>
    <x v="305"/>
    <x v="306"/>
    <x v="3"/>
    <x v="2"/>
    <n v="255.46"/>
    <x v="306"/>
    <x v="2"/>
    <n v="21.6"/>
  </r>
  <r>
    <s v="CID308"/>
    <x v="296"/>
    <x v="4"/>
    <x v="6"/>
    <x v="17"/>
    <x v="1"/>
    <x v="3"/>
    <n v="82.63"/>
    <x v="306"/>
    <x v="307"/>
    <x v="2"/>
    <x v="1"/>
    <n v="76.94"/>
    <x v="307"/>
    <x v="3"/>
    <n v="21.85"/>
  </r>
  <r>
    <s v="CID309"/>
    <x v="297"/>
    <x v="3"/>
    <x v="0"/>
    <x v="6"/>
    <x v="1"/>
    <x v="3"/>
    <n v="1.43"/>
    <x v="307"/>
    <x v="308"/>
    <x v="1"/>
    <x v="3"/>
    <n v="259.7"/>
    <x v="308"/>
    <x v="3"/>
    <n v="31.72"/>
  </r>
  <r>
    <s v="CID310"/>
    <x v="219"/>
    <x v="2"/>
    <x v="6"/>
    <x v="20"/>
    <x v="1"/>
    <x v="3"/>
    <n v="66.09"/>
    <x v="308"/>
    <x v="309"/>
    <x v="2"/>
    <x v="4"/>
    <n v="176.03"/>
    <x v="309"/>
    <x v="3"/>
    <n v="33.74"/>
  </r>
  <r>
    <s v="CID311"/>
    <x v="298"/>
    <x v="9"/>
    <x v="3"/>
    <x v="5"/>
    <x v="2"/>
    <x v="4"/>
    <n v="14.68"/>
    <x v="309"/>
    <x v="310"/>
    <x v="2"/>
    <x v="2"/>
    <n v="260.77"/>
    <x v="310"/>
    <x v="4"/>
    <n v="30.68"/>
  </r>
  <r>
    <s v="CID312"/>
    <x v="182"/>
    <x v="12"/>
    <x v="6"/>
    <x v="17"/>
    <x v="0"/>
    <x v="0"/>
    <n v="68.97"/>
    <x v="310"/>
    <x v="311"/>
    <x v="3"/>
    <x v="4"/>
    <n v="295.33"/>
    <x v="311"/>
    <x v="1"/>
    <n v="27.56"/>
  </r>
  <r>
    <s v="CID313"/>
    <x v="299"/>
    <x v="7"/>
    <x v="0"/>
    <x v="0"/>
    <x v="2"/>
    <x v="1"/>
    <n v="48.56"/>
    <x v="311"/>
    <x v="312"/>
    <x v="1"/>
    <x v="0"/>
    <n v="218.56"/>
    <x v="312"/>
    <x v="3"/>
    <n v="24.29"/>
  </r>
  <r>
    <s v="CID314"/>
    <x v="300"/>
    <x v="0"/>
    <x v="5"/>
    <x v="7"/>
    <x v="2"/>
    <x v="4"/>
    <n v="6.25"/>
    <x v="312"/>
    <x v="313"/>
    <x v="2"/>
    <x v="0"/>
    <n v="237.55"/>
    <x v="313"/>
    <x v="4"/>
    <n v="30.25"/>
  </r>
  <r>
    <s v="CID315"/>
    <x v="301"/>
    <x v="1"/>
    <x v="0"/>
    <x v="11"/>
    <x v="0"/>
    <x v="5"/>
    <n v="36.51"/>
    <x v="313"/>
    <x v="314"/>
    <x v="3"/>
    <x v="4"/>
    <n v="235.6"/>
    <x v="314"/>
    <x v="1"/>
    <n v="27.66"/>
  </r>
  <r>
    <s v="CID316"/>
    <x v="302"/>
    <x v="0"/>
    <x v="0"/>
    <x v="6"/>
    <x v="2"/>
    <x v="3"/>
    <n v="42.24"/>
    <x v="314"/>
    <x v="315"/>
    <x v="2"/>
    <x v="2"/>
    <n v="291.45999999999998"/>
    <x v="315"/>
    <x v="4"/>
    <n v="23.05"/>
  </r>
  <r>
    <s v="CID317"/>
    <x v="133"/>
    <x v="8"/>
    <x v="0"/>
    <x v="6"/>
    <x v="0"/>
    <x v="0"/>
    <n v="75.760000000000005"/>
    <x v="315"/>
    <x v="316"/>
    <x v="3"/>
    <x v="0"/>
    <n v="244.04"/>
    <x v="316"/>
    <x v="4"/>
    <n v="26.73"/>
  </r>
  <r>
    <s v="CID318"/>
    <x v="303"/>
    <x v="8"/>
    <x v="6"/>
    <x v="17"/>
    <x v="0"/>
    <x v="5"/>
    <n v="38.340000000000003"/>
    <x v="316"/>
    <x v="317"/>
    <x v="2"/>
    <x v="2"/>
    <n v="82.52"/>
    <x v="317"/>
    <x v="4"/>
    <n v="20.079999999999998"/>
  </r>
  <r>
    <s v="CID319"/>
    <x v="171"/>
    <x v="10"/>
    <x v="1"/>
    <x v="1"/>
    <x v="0"/>
    <x v="5"/>
    <n v="77.59"/>
    <x v="317"/>
    <x v="318"/>
    <x v="2"/>
    <x v="4"/>
    <n v="172.64"/>
    <x v="318"/>
    <x v="4"/>
    <n v="21.09"/>
  </r>
  <r>
    <s v="CID320"/>
    <x v="304"/>
    <x v="2"/>
    <x v="5"/>
    <x v="7"/>
    <x v="0"/>
    <x v="5"/>
    <n v="78.84"/>
    <x v="318"/>
    <x v="319"/>
    <x v="1"/>
    <x v="4"/>
    <n v="72.989999999999995"/>
    <x v="319"/>
    <x v="1"/>
    <n v="29.95"/>
  </r>
  <r>
    <s v="CID321"/>
    <x v="305"/>
    <x v="7"/>
    <x v="2"/>
    <x v="13"/>
    <x v="0"/>
    <x v="1"/>
    <n v="48.01"/>
    <x v="319"/>
    <x v="320"/>
    <x v="0"/>
    <x v="3"/>
    <n v="78.680000000000007"/>
    <x v="320"/>
    <x v="1"/>
    <n v="33.57"/>
  </r>
  <r>
    <s v="CID322"/>
    <x v="306"/>
    <x v="11"/>
    <x v="6"/>
    <x v="17"/>
    <x v="2"/>
    <x v="3"/>
    <n v="91.68"/>
    <x v="320"/>
    <x v="321"/>
    <x v="1"/>
    <x v="3"/>
    <n v="114.15"/>
    <x v="321"/>
    <x v="0"/>
    <n v="33.67"/>
  </r>
  <r>
    <s v="CID323"/>
    <x v="307"/>
    <x v="6"/>
    <x v="4"/>
    <x v="9"/>
    <x v="2"/>
    <x v="5"/>
    <n v="30.35"/>
    <x v="321"/>
    <x v="322"/>
    <x v="2"/>
    <x v="3"/>
    <n v="178.47"/>
    <x v="322"/>
    <x v="1"/>
    <n v="34.57"/>
  </r>
  <r>
    <s v="CID324"/>
    <x v="308"/>
    <x v="5"/>
    <x v="1"/>
    <x v="10"/>
    <x v="1"/>
    <x v="2"/>
    <n v="63.32"/>
    <x v="322"/>
    <x v="323"/>
    <x v="1"/>
    <x v="2"/>
    <n v="258.92"/>
    <x v="323"/>
    <x v="2"/>
    <n v="29.7"/>
  </r>
  <r>
    <s v="CID325"/>
    <x v="309"/>
    <x v="8"/>
    <x v="1"/>
    <x v="14"/>
    <x v="2"/>
    <x v="5"/>
    <n v="9.66"/>
    <x v="323"/>
    <x v="324"/>
    <x v="2"/>
    <x v="1"/>
    <n v="189.52"/>
    <x v="324"/>
    <x v="1"/>
    <n v="33.659999999999997"/>
  </r>
  <r>
    <s v="CID326"/>
    <x v="310"/>
    <x v="4"/>
    <x v="3"/>
    <x v="12"/>
    <x v="2"/>
    <x v="0"/>
    <n v="2.67"/>
    <x v="324"/>
    <x v="325"/>
    <x v="0"/>
    <x v="4"/>
    <n v="210.36"/>
    <x v="325"/>
    <x v="3"/>
    <n v="20.68"/>
  </r>
  <r>
    <s v="CID327"/>
    <x v="311"/>
    <x v="9"/>
    <x v="5"/>
    <x v="7"/>
    <x v="0"/>
    <x v="0"/>
    <n v="61.05"/>
    <x v="325"/>
    <x v="326"/>
    <x v="1"/>
    <x v="2"/>
    <n v="145.35"/>
    <x v="326"/>
    <x v="0"/>
    <n v="27.11"/>
  </r>
  <r>
    <s v="CID328"/>
    <x v="168"/>
    <x v="4"/>
    <x v="6"/>
    <x v="20"/>
    <x v="0"/>
    <x v="0"/>
    <n v="96.05"/>
    <x v="326"/>
    <x v="327"/>
    <x v="2"/>
    <x v="0"/>
    <n v="289.35000000000002"/>
    <x v="327"/>
    <x v="3"/>
    <n v="22.12"/>
  </r>
  <r>
    <s v="CID329"/>
    <x v="312"/>
    <x v="4"/>
    <x v="5"/>
    <x v="15"/>
    <x v="0"/>
    <x v="1"/>
    <n v="94.75"/>
    <x v="327"/>
    <x v="328"/>
    <x v="2"/>
    <x v="2"/>
    <n v="102.93"/>
    <x v="328"/>
    <x v="3"/>
    <n v="22.14"/>
  </r>
  <r>
    <s v="CID330"/>
    <x v="313"/>
    <x v="1"/>
    <x v="5"/>
    <x v="8"/>
    <x v="1"/>
    <x v="4"/>
    <n v="67.430000000000007"/>
    <x v="328"/>
    <x v="329"/>
    <x v="0"/>
    <x v="0"/>
    <n v="262.85000000000002"/>
    <x v="329"/>
    <x v="3"/>
    <n v="26.92"/>
  </r>
  <r>
    <s v="CID331"/>
    <x v="314"/>
    <x v="5"/>
    <x v="2"/>
    <x v="19"/>
    <x v="2"/>
    <x v="5"/>
    <n v="20.54"/>
    <x v="329"/>
    <x v="330"/>
    <x v="2"/>
    <x v="2"/>
    <n v="139.28"/>
    <x v="330"/>
    <x v="1"/>
    <n v="21.5"/>
  </r>
  <r>
    <s v="CID332"/>
    <x v="315"/>
    <x v="6"/>
    <x v="2"/>
    <x v="2"/>
    <x v="2"/>
    <x v="1"/>
    <n v="66.28"/>
    <x v="330"/>
    <x v="331"/>
    <x v="3"/>
    <x v="0"/>
    <n v="191.39"/>
    <x v="331"/>
    <x v="4"/>
    <n v="34.380000000000003"/>
  </r>
  <r>
    <s v="CID333"/>
    <x v="316"/>
    <x v="7"/>
    <x v="2"/>
    <x v="13"/>
    <x v="1"/>
    <x v="2"/>
    <n v="74.239999999999995"/>
    <x v="331"/>
    <x v="332"/>
    <x v="2"/>
    <x v="4"/>
    <n v="83.58"/>
    <x v="332"/>
    <x v="2"/>
    <n v="26.94"/>
  </r>
  <r>
    <s v="CID334"/>
    <x v="317"/>
    <x v="5"/>
    <x v="3"/>
    <x v="12"/>
    <x v="1"/>
    <x v="2"/>
    <n v="61.06"/>
    <x v="332"/>
    <x v="333"/>
    <x v="3"/>
    <x v="3"/>
    <n v="272.82"/>
    <x v="333"/>
    <x v="0"/>
    <n v="30.91"/>
  </r>
  <r>
    <s v="CID335"/>
    <x v="318"/>
    <x v="12"/>
    <x v="0"/>
    <x v="0"/>
    <x v="0"/>
    <x v="3"/>
    <n v="77.150000000000006"/>
    <x v="333"/>
    <x v="334"/>
    <x v="0"/>
    <x v="2"/>
    <n v="187.9"/>
    <x v="334"/>
    <x v="3"/>
    <n v="27.08"/>
  </r>
  <r>
    <s v="CID336"/>
    <x v="319"/>
    <x v="1"/>
    <x v="2"/>
    <x v="2"/>
    <x v="0"/>
    <x v="2"/>
    <n v="85.86"/>
    <x v="334"/>
    <x v="335"/>
    <x v="0"/>
    <x v="3"/>
    <n v="149.19999999999999"/>
    <x v="335"/>
    <x v="1"/>
    <n v="32.72"/>
  </r>
  <r>
    <s v="CID337"/>
    <x v="320"/>
    <x v="7"/>
    <x v="0"/>
    <x v="0"/>
    <x v="0"/>
    <x v="4"/>
    <n v="45.18"/>
    <x v="335"/>
    <x v="336"/>
    <x v="3"/>
    <x v="1"/>
    <n v="233.98"/>
    <x v="336"/>
    <x v="4"/>
    <n v="20.61"/>
  </r>
  <r>
    <s v="CID338"/>
    <x v="321"/>
    <x v="9"/>
    <x v="6"/>
    <x v="17"/>
    <x v="2"/>
    <x v="4"/>
    <n v="5.24"/>
    <x v="336"/>
    <x v="337"/>
    <x v="2"/>
    <x v="0"/>
    <n v="147.02000000000001"/>
    <x v="337"/>
    <x v="0"/>
    <n v="20.6"/>
  </r>
  <r>
    <s v="CID339"/>
    <x v="322"/>
    <x v="11"/>
    <x v="0"/>
    <x v="6"/>
    <x v="2"/>
    <x v="2"/>
    <n v="27.07"/>
    <x v="337"/>
    <x v="338"/>
    <x v="3"/>
    <x v="3"/>
    <n v="144.16"/>
    <x v="338"/>
    <x v="3"/>
    <n v="29.8"/>
  </r>
  <r>
    <s v="CID340"/>
    <x v="323"/>
    <x v="1"/>
    <x v="2"/>
    <x v="2"/>
    <x v="0"/>
    <x v="3"/>
    <n v="35.94"/>
    <x v="338"/>
    <x v="339"/>
    <x v="1"/>
    <x v="1"/>
    <n v="248.16"/>
    <x v="339"/>
    <x v="0"/>
    <n v="27.53"/>
  </r>
  <r>
    <s v="CID341"/>
    <x v="324"/>
    <x v="5"/>
    <x v="6"/>
    <x v="17"/>
    <x v="0"/>
    <x v="2"/>
    <n v="28.8"/>
    <x v="339"/>
    <x v="340"/>
    <x v="3"/>
    <x v="4"/>
    <n v="140.56"/>
    <x v="340"/>
    <x v="0"/>
    <n v="29.92"/>
  </r>
  <r>
    <s v="CID342"/>
    <x v="232"/>
    <x v="6"/>
    <x v="0"/>
    <x v="0"/>
    <x v="0"/>
    <x v="3"/>
    <n v="48.42"/>
    <x v="340"/>
    <x v="341"/>
    <x v="1"/>
    <x v="3"/>
    <n v="55.61"/>
    <x v="341"/>
    <x v="3"/>
    <n v="28.89"/>
  </r>
  <r>
    <s v="CID343"/>
    <x v="253"/>
    <x v="2"/>
    <x v="1"/>
    <x v="10"/>
    <x v="1"/>
    <x v="4"/>
    <n v="26.57"/>
    <x v="341"/>
    <x v="342"/>
    <x v="1"/>
    <x v="0"/>
    <n v="199.84"/>
    <x v="342"/>
    <x v="0"/>
    <n v="33.18"/>
  </r>
  <r>
    <s v="CID344"/>
    <x v="325"/>
    <x v="12"/>
    <x v="6"/>
    <x v="18"/>
    <x v="2"/>
    <x v="3"/>
    <n v="17.89"/>
    <x v="342"/>
    <x v="343"/>
    <x v="3"/>
    <x v="4"/>
    <n v="248.65"/>
    <x v="343"/>
    <x v="1"/>
    <n v="29.35"/>
  </r>
  <r>
    <s v="CID345"/>
    <x v="326"/>
    <x v="11"/>
    <x v="6"/>
    <x v="20"/>
    <x v="2"/>
    <x v="3"/>
    <n v="60.06"/>
    <x v="343"/>
    <x v="344"/>
    <x v="1"/>
    <x v="1"/>
    <n v="146.37"/>
    <x v="344"/>
    <x v="1"/>
    <n v="27.84"/>
  </r>
  <r>
    <s v="CID346"/>
    <x v="327"/>
    <x v="12"/>
    <x v="4"/>
    <x v="4"/>
    <x v="1"/>
    <x v="4"/>
    <n v="48.11"/>
    <x v="344"/>
    <x v="345"/>
    <x v="0"/>
    <x v="3"/>
    <n v="269.44"/>
    <x v="345"/>
    <x v="0"/>
    <n v="21.4"/>
  </r>
  <r>
    <s v="CID347"/>
    <x v="257"/>
    <x v="7"/>
    <x v="5"/>
    <x v="7"/>
    <x v="0"/>
    <x v="2"/>
    <n v="43.72"/>
    <x v="345"/>
    <x v="346"/>
    <x v="0"/>
    <x v="4"/>
    <n v="224.41"/>
    <x v="346"/>
    <x v="2"/>
    <n v="31.84"/>
  </r>
  <r>
    <s v="CID348"/>
    <x v="328"/>
    <x v="7"/>
    <x v="5"/>
    <x v="15"/>
    <x v="0"/>
    <x v="1"/>
    <n v="10.67"/>
    <x v="346"/>
    <x v="347"/>
    <x v="1"/>
    <x v="3"/>
    <n v="241.46"/>
    <x v="347"/>
    <x v="0"/>
    <n v="24.25"/>
  </r>
  <r>
    <s v="CID349"/>
    <x v="329"/>
    <x v="1"/>
    <x v="3"/>
    <x v="5"/>
    <x v="1"/>
    <x v="2"/>
    <n v="74.62"/>
    <x v="347"/>
    <x v="348"/>
    <x v="0"/>
    <x v="1"/>
    <n v="179.94"/>
    <x v="348"/>
    <x v="1"/>
    <n v="30.32"/>
  </r>
  <r>
    <s v="CID350"/>
    <x v="330"/>
    <x v="2"/>
    <x v="2"/>
    <x v="13"/>
    <x v="2"/>
    <x v="2"/>
    <n v="58.95"/>
    <x v="348"/>
    <x v="349"/>
    <x v="1"/>
    <x v="3"/>
    <n v="191.17"/>
    <x v="349"/>
    <x v="2"/>
    <n v="31.32"/>
  </r>
  <r>
    <s v="CID351"/>
    <x v="331"/>
    <x v="6"/>
    <x v="4"/>
    <x v="9"/>
    <x v="1"/>
    <x v="0"/>
    <n v="56.35"/>
    <x v="349"/>
    <x v="350"/>
    <x v="2"/>
    <x v="2"/>
    <n v="194.41"/>
    <x v="350"/>
    <x v="2"/>
    <n v="31.04"/>
  </r>
  <r>
    <s v="CID352"/>
    <x v="332"/>
    <x v="2"/>
    <x v="3"/>
    <x v="12"/>
    <x v="1"/>
    <x v="4"/>
    <n v="51.33"/>
    <x v="350"/>
    <x v="351"/>
    <x v="0"/>
    <x v="1"/>
    <n v="90.18"/>
    <x v="351"/>
    <x v="0"/>
    <n v="32.07"/>
  </r>
  <r>
    <s v="CID353"/>
    <x v="333"/>
    <x v="5"/>
    <x v="5"/>
    <x v="8"/>
    <x v="1"/>
    <x v="0"/>
    <n v="22.96"/>
    <x v="351"/>
    <x v="352"/>
    <x v="0"/>
    <x v="4"/>
    <n v="231.12"/>
    <x v="352"/>
    <x v="2"/>
    <n v="29.21"/>
  </r>
  <r>
    <s v="CID354"/>
    <x v="334"/>
    <x v="0"/>
    <x v="0"/>
    <x v="6"/>
    <x v="1"/>
    <x v="2"/>
    <n v="49.94"/>
    <x v="352"/>
    <x v="353"/>
    <x v="2"/>
    <x v="3"/>
    <n v="98.69"/>
    <x v="353"/>
    <x v="3"/>
    <n v="27.74"/>
  </r>
  <r>
    <s v="CID355"/>
    <x v="335"/>
    <x v="0"/>
    <x v="6"/>
    <x v="20"/>
    <x v="2"/>
    <x v="4"/>
    <n v="65.849999999999994"/>
    <x v="353"/>
    <x v="354"/>
    <x v="0"/>
    <x v="3"/>
    <n v="299.2"/>
    <x v="354"/>
    <x v="4"/>
    <n v="30.04"/>
  </r>
  <r>
    <s v="CID356"/>
    <x v="336"/>
    <x v="0"/>
    <x v="6"/>
    <x v="20"/>
    <x v="0"/>
    <x v="2"/>
    <n v="7.79"/>
    <x v="354"/>
    <x v="355"/>
    <x v="2"/>
    <x v="4"/>
    <n v="231.53"/>
    <x v="355"/>
    <x v="3"/>
    <n v="25.22"/>
  </r>
  <r>
    <s v="CID357"/>
    <x v="337"/>
    <x v="1"/>
    <x v="6"/>
    <x v="20"/>
    <x v="2"/>
    <x v="3"/>
    <n v="57.92"/>
    <x v="355"/>
    <x v="356"/>
    <x v="1"/>
    <x v="3"/>
    <n v="176.56"/>
    <x v="356"/>
    <x v="3"/>
    <n v="24.41"/>
  </r>
  <r>
    <s v="CID358"/>
    <x v="338"/>
    <x v="7"/>
    <x v="2"/>
    <x v="19"/>
    <x v="0"/>
    <x v="0"/>
    <n v="69.72"/>
    <x v="356"/>
    <x v="357"/>
    <x v="1"/>
    <x v="3"/>
    <n v="242.49"/>
    <x v="357"/>
    <x v="2"/>
    <n v="30.22"/>
  </r>
  <r>
    <s v="CID359"/>
    <x v="339"/>
    <x v="6"/>
    <x v="4"/>
    <x v="4"/>
    <x v="1"/>
    <x v="0"/>
    <n v="7.69"/>
    <x v="357"/>
    <x v="358"/>
    <x v="3"/>
    <x v="3"/>
    <n v="219.23"/>
    <x v="358"/>
    <x v="4"/>
    <n v="26.19"/>
  </r>
  <r>
    <s v="CID360"/>
    <x v="340"/>
    <x v="8"/>
    <x v="5"/>
    <x v="7"/>
    <x v="2"/>
    <x v="4"/>
    <n v="29.44"/>
    <x v="358"/>
    <x v="359"/>
    <x v="2"/>
    <x v="3"/>
    <n v="69.010000000000005"/>
    <x v="359"/>
    <x v="2"/>
    <n v="24.71"/>
  </r>
  <r>
    <s v="CID361"/>
    <x v="341"/>
    <x v="8"/>
    <x v="2"/>
    <x v="13"/>
    <x v="0"/>
    <x v="4"/>
    <n v="50.4"/>
    <x v="359"/>
    <x v="360"/>
    <x v="3"/>
    <x v="3"/>
    <n v="268.19"/>
    <x v="360"/>
    <x v="1"/>
    <n v="32.520000000000003"/>
  </r>
  <r>
    <s v="CID362"/>
    <x v="342"/>
    <x v="7"/>
    <x v="2"/>
    <x v="13"/>
    <x v="1"/>
    <x v="5"/>
    <n v="92.1"/>
    <x v="360"/>
    <x v="361"/>
    <x v="1"/>
    <x v="4"/>
    <n v="203.46"/>
    <x v="361"/>
    <x v="3"/>
    <n v="34.369999999999997"/>
  </r>
  <r>
    <s v="CID363"/>
    <x v="343"/>
    <x v="6"/>
    <x v="5"/>
    <x v="8"/>
    <x v="0"/>
    <x v="0"/>
    <n v="49.59"/>
    <x v="361"/>
    <x v="362"/>
    <x v="2"/>
    <x v="1"/>
    <n v="149.47"/>
    <x v="362"/>
    <x v="1"/>
    <n v="20.81"/>
  </r>
  <r>
    <s v="CID364"/>
    <x v="289"/>
    <x v="0"/>
    <x v="3"/>
    <x v="12"/>
    <x v="0"/>
    <x v="0"/>
    <n v="39.979999999999997"/>
    <x v="362"/>
    <x v="363"/>
    <x v="3"/>
    <x v="0"/>
    <n v="164.3"/>
    <x v="363"/>
    <x v="3"/>
    <n v="26.9"/>
  </r>
  <r>
    <s v="CID365"/>
    <x v="344"/>
    <x v="1"/>
    <x v="1"/>
    <x v="10"/>
    <x v="2"/>
    <x v="1"/>
    <n v="10.97"/>
    <x v="363"/>
    <x v="364"/>
    <x v="2"/>
    <x v="4"/>
    <n v="96.79"/>
    <x v="364"/>
    <x v="4"/>
    <n v="27.07"/>
  </r>
  <r>
    <s v="CID366"/>
    <x v="345"/>
    <x v="4"/>
    <x v="6"/>
    <x v="18"/>
    <x v="1"/>
    <x v="3"/>
    <n v="70.37"/>
    <x v="364"/>
    <x v="365"/>
    <x v="1"/>
    <x v="0"/>
    <n v="119.91"/>
    <x v="365"/>
    <x v="1"/>
    <n v="34.69"/>
  </r>
  <r>
    <s v="CID367"/>
    <x v="346"/>
    <x v="7"/>
    <x v="0"/>
    <x v="11"/>
    <x v="1"/>
    <x v="1"/>
    <n v="43.79"/>
    <x v="365"/>
    <x v="366"/>
    <x v="3"/>
    <x v="1"/>
    <n v="250.01"/>
    <x v="366"/>
    <x v="2"/>
    <n v="32.090000000000003"/>
  </r>
  <r>
    <s v="CID368"/>
    <x v="204"/>
    <x v="11"/>
    <x v="3"/>
    <x v="3"/>
    <x v="0"/>
    <x v="1"/>
    <n v="72.34"/>
    <x v="366"/>
    <x v="367"/>
    <x v="2"/>
    <x v="2"/>
    <n v="112.74"/>
    <x v="367"/>
    <x v="0"/>
    <n v="25.98"/>
  </r>
  <r>
    <s v="CID369"/>
    <x v="347"/>
    <x v="9"/>
    <x v="1"/>
    <x v="1"/>
    <x v="2"/>
    <x v="2"/>
    <n v="10.53"/>
    <x v="367"/>
    <x v="368"/>
    <x v="2"/>
    <x v="0"/>
    <n v="140.24"/>
    <x v="368"/>
    <x v="4"/>
    <n v="25.16"/>
  </r>
  <r>
    <s v="CID370"/>
    <x v="348"/>
    <x v="12"/>
    <x v="2"/>
    <x v="19"/>
    <x v="1"/>
    <x v="1"/>
    <n v="58.01"/>
    <x v="368"/>
    <x v="369"/>
    <x v="3"/>
    <x v="1"/>
    <n v="294.83999999999997"/>
    <x v="369"/>
    <x v="4"/>
    <n v="30.1"/>
  </r>
  <r>
    <s v="CID371"/>
    <x v="349"/>
    <x v="12"/>
    <x v="1"/>
    <x v="14"/>
    <x v="2"/>
    <x v="3"/>
    <n v="63.54"/>
    <x v="369"/>
    <x v="370"/>
    <x v="3"/>
    <x v="1"/>
    <n v="210.15"/>
    <x v="370"/>
    <x v="2"/>
    <n v="29.47"/>
  </r>
  <r>
    <s v="CID372"/>
    <x v="350"/>
    <x v="5"/>
    <x v="4"/>
    <x v="4"/>
    <x v="1"/>
    <x v="0"/>
    <n v="23.59"/>
    <x v="370"/>
    <x v="371"/>
    <x v="2"/>
    <x v="4"/>
    <n v="227.61"/>
    <x v="371"/>
    <x v="2"/>
    <n v="24.07"/>
  </r>
  <r>
    <s v="CID373"/>
    <x v="351"/>
    <x v="3"/>
    <x v="0"/>
    <x v="6"/>
    <x v="2"/>
    <x v="3"/>
    <n v="17.559999999999999"/>
    <x v="371"/>
    <x v="372"/>
    <x v="3"/>
    <x v="0"/>
    <n v="231.94"/>
    <x v="372"/>
    <x v="0"/>
    <n v="23.16"/>
  </r>
  <r>
    <s v="CID374"/>
    <x v="352"/>
    <x v="6"/>
    <x v="1"/>
    <x v="1"/>
    <x v="0"/>
    <x v="5"/>
    <n v="3.61"/>
    <x v="372"/>
    <x v="373"/>
    <x v="0"/>
    <x v="1"/>
    <n v="75.98"/>
    <x v="373"/>
    <x v="0"/>
    <n v="29.82"/>
  </r>
  <r>
    <s v="CID375"/>
    <x v="353"/>
    <x v="1"/>
    <x v="2"/>
    <x v="13"/>
    <x v="0"/>
    <x v="0"/>
    <n v="44.87"/>
    <x v="373"/>
    <x v="374"/>
    <x v="3"/>
    <x v="3"/>
    <n v="57.14"/>
    <x v="374"/>
    <x v="4"/>
    <n v="32.96"/>
  </r>
  <r>
    <s v="CID376"/>
    <x v="354"/>
    <x v="6"/>
    <x v="2"/>
    <x v="19"/>
    <x v="1"/>
    <x v="2"/>
    <n v="54.39"/>
    <x v="374"/>
    <x v="375"/>
    <x v="1"/>
    <x v="4"/>
    <n v="207.76"/>
    <x v="375"/>
    <x v="3"/>
    <n v="26.52"/>
  </r>
  <r>
    <s v="CID377"/>
    <x v="355"/>
    <x v="3"/>
    <x v="2"/>
    <x v="2"/>
    <x v="1"/>
    <x v="5"/>
    <n v="44.74"/>
    <x v="375"/>
    <x v="376"/>
    <x v="2"/>
    <x v="4"/>
    <n v="88.93"/>
    <x v="376"/>
    <x v="3"/>
    <n v="32.229999999999997"/>
  </r>
  <r>
    <s v="CID378"/>
    <x v="356"/>
    <x v="3"/>
    <x v="2"/>
    <x v="2"/>
    <x v="1"/>
    <x v="2"/>
    <n v="92.29"/>
    <x v="376"/>
    <x v="377"/>
    <x v="1"/>
    <x v="3"/>
    <n v="124.9"/>
    <x v="377"/>
    <x v="4"/>
    <n v="28.96"/>
  </r>
  <r>
    <s v="CID379"/>
    <x v="357"/>
    <x v="4"/>
    <x v="2"/>
    <x v="13"/>
    <x v="0"/>
    <x v="3"/>
    <n v="40.08"/>
    <x v="377"/>
    <x v="378"/>
    <x v="1"/>
    <x v="3"/>
    <n v="257.11"/>
    <x v="378"/>
    <x v="0"/>
    <n v="26.33"/>
  </r>
  <r>
    <s v="CID380"/>
    <x v="358"/>
    <x v="7"/>
    <x v="4"/>
    <x v="9"/>
    <x v="0"/>
    <x v="2"/>
    <n v="27.91"/>
    <x v="378"/>
    <x v="379"/>
    <x v="2"/>
    <x v="1"/>
    <n v="153.22999999999999"/>
    <x v="379"/>
    <x v="1"/>
    <n v="22.05"/>
  </r>
  <r>
    <s v="CID381"/>
    <x v="359"/>
    <x v="9"/>
    <x v="5"/>
    <x v="8"/>
    <x v="0"/>
    <x v="1"/>
    <n v="49.71"/>
    <x v="379"/>
    <x v="380"/>
    <x v="3"/>
    <x v="4"/>
    <n v="62.41"/>
    <x v="380"/>
    <x v="1"/>
    <n v="34.58"/>
  </r>
  <r>
    <s v="CID382"/>
    <x v="360"/>
    <x v="6"/>
    <x v="6"/>
    <x v="20"/>
    <x v="0"/>
    <x v="5"/>
    <n v="24.05"/>
    <x v="380"/>
    <x v="381"/>
    <x v="1"/>
    <x v="0"/>
    <n v="104.3"/>
    <x v="381"/>
    <x v="2"/>
    <n v="34.97"/>
  </r>
  <r>
    <s v="CID383"/>
    <x v="361"/>
    <x v="7"/>
    <x v="2"/>
    <x v="13"/>
    <x v="1"/>
    <x v="5"/>
    <n v="27.38"/>
    <x v="381"/>
    <x v="382"/>
    <x v="1"/>
    <x v="0"/>
    <n v="95.4"/>
    <x v="382"/>
    <x v="4"/>
    <n v="32.26"/>
  </r>
  <r>
    <s v="CID384"/>
    <x v="362"/>
    <x v="1"/>
    <x v="4"/>
    <x v="9"/>
    <x v="2"/>
    <x v="3"/>
    <n v="25.47"/>
    <x v="382"/>
    <x v="383"/>
    <x v="3"/>
    <x v="1"/>
    <n v="165.21"/>
    <x v="383"/>
    <x v="3"/>
    <n v="29.99"/>
  </r>
  <r>
    <s v="CID385"/>
    <x v="363"/>
    <x v="9"/>
    <x v="3"/>
    <x v="12"/>
    <x v="2"/>
    <x v="4"/>
    <n v="63.29"/>
    <x v="383"/>
    <x v="384"/>
    <x v="0"/>
    <x v="2"/>
    <n v="113.33"/>
    <x v="384"/>
    <x v="1"/>
    <n v="25.41"/>
  </r>
  <r>
    <s v="CID386"/>
    <x v="364"/>
    <x v="11"/>
    <x v="1"/>
    <x v="1"/>
    <x v="2"/>
    <x v="0"/>
    <n v="2.4900000000000002"/>
    <x v="384"/>
    <x v="385"/>
    <x v="0"/>
    <x v="3"/>
    <n v="148.94999999999999"/>
    <x v="385"/>
    <x v="0"/>
    <n v="28.72"/>
  </r>
  <r>
    <s v="CID387"/>
    <x v="365"/>
    <x v="7"/>
    <x v="6"/>
    <x v="18"/>
    <x v="1"/>
    <x v="4"/>
    <n v="16.61"/>
    <x v="385"/>
    <x v="386"/>
    <x v="2"/>
    <x v="3"/>
    <n v="282.70999999999998"/>
    <x v="386"/>
    <x v="0"/>
    <n v="20.9"/>
  </r>
  <r>
    <s v="CID388"/>
    <x v="110"/>
    <x v="2"/>
    <x v="4"/>
    <x v="4"/>
    <x v="2"/>
    <x v="4"/>
    <n v="32.36"/>
    <x v="386"/>
    <x v="387"/>
    <x v="2"/>
    <x v="4"/>
    <n v="251.38"/>
    <x v="387"/>
    <x v="1"/>
    <n v="20.32"/>
  </r>
  <r>
    <s v="CID389"/>
    <x v="366"/>
    <x v="9"/>
    <x v="0"/>
    <x v="0"/>
    <x v="1"/>
    <x v="3"/>
    <n v="70.959999999999994"/>
    <x v="387"/>
    <x v="388"/>
    <x v="1"/>
    <x v="4"/>
    <n v="97.44"/>
    <x v="388"/>
    <x v="4"/>
    <n v="24.86"/>
  </r>
  <r>
    <s v="CID390"/>
    <x v="367"/>
    <x v="3"/>
    <x v="4"/>
    <x v="9"/>
    <x v="1"/>
    <x v="5"/>
    <n v="53.58"/>
    <x v="388"/>
    <x v="389"/>
    <x v="2"/>
    <x v="0"/>
    <n v="185.4"/>
    <x v="389"/>
    <x v="3"/>
    <n v="25.69"/>
  </r>
  <r>
    <s v="CID391"/>
    <x v="368"/>
    <x v="7"/>
    <x v="5"/>
    <x v="8"/>
    <x v="0"/>
    <x v="4"/>
    <n v="32.75"/>
    <x v="389"/>
    <x v="390"/>
    <x v="1"/>
    <x v="4"/>
    <n v="97.47"/>
    <x v="390"/>
    <x v="3"/>
    <n v="22.31"/>
  </r>
  <r>
    <s v="CID392"/>
    <x v="369"/>
    <x v="10"/>
    <x v="3"/>
    <x v="12"/>
    <x v="1"/>
    <x v="5"/>
    <n v="52.8"/>
    <x v="390"/>
    <x v="391"/>
    <x v="3"/>
    <x v="0"/>
    <n v="94.66"/>
    <x v="391"/>
    <x v="0"/>
    <n v="27.28"/>
  </r>
  <r>
    <s v="CID393"/>
    <x v="370"/>
    <x v="4"/>
    <x v="5"/>
    <x v="15"/>
    <x v="0"/>
    <x v="3"/>
    <n v="53.06"/>
    <x v="391"/>
    <x v="392"/>
    <x v="2"/>
    <x v="2"/>
    <n v="62.27"/>
    <x v="392"/>
    <x v="0"/>
    <n v="20.2"/>
  </r>
  <r>
    <s v="CID394"/>
    <x v="371"/>
    <x v="5"/>
    <x v="0"/>
    <x v="11"/>
    <x v="2"/>
    <x v="2"/>
    <n v="7.01"/>
    <x v="392"/>
    <x v="393"/>
    <x v="1"/>
    <x v="3"/>
    <n v="255.51"/>
    <x v="393"/>
    <x v="0"/>
    <n v="32.35"/>
  </r>
  <r>
    <s v="CID395"/>
    <x v="372"/>
    <x v="5"/>
    <x v="1"/>
    <x v="10"/>
    <x v="2"/>
    <x v="5"/>
    <n v="94.52"/>
    <x v="393"/>
    <x v="394"/>
    <x v="0"/>
    <x v="2"/>
    <n v="75.31"/>
    <x v="394"/>
    <x v="2"/>
    <n v="22.84"/>
  </r>
  <r>
    <s v="CID396"/>
    <x v="373"/>
    <x v="2"/>
    <x v="5"/>
    <x v="15"/>
    <x v="0"/>
    <x v="2"/>
    <n v="56.26"/>
    <x v="394"/>
    <x v="395"/>
    <x v="2"/>
    <x v="2"/>
    <n v="218.62"/>
    <x v="395"/>
    <x v="2"/>
    <n v="33.24"/>
  </r>
  <r>
    <s v="CID397"/>
    <x v="374"/>
    <x v="3"/>
    <x v="5"/>
    <x v="8"/>
    <x v="2"/>
    <x v="2"/>
    <n v="16.66"/>
    <x v="395"/>
    <x v="396"/>
    <x v="1"/>
    <x v="4"/>
    <n v="283.38"/>
    <x v="396"/>
    <x v="3"/>
    <n v="34.869999999999997"/>
  </r>
  <r>
    <s v="CID398"/>
    <x v="375"/>
    <x v="4"/>
    <x v="3"/>
    <x v="12"/>
    <x v="0"/>
    <x v="0"/>
    <n v="61.23"/>
    <x v="396"/>
    <x v="397"/>
    <x v="3"/>
    <x v="1"/>
    <n v="143.77000000000001"/>
    <x v="397"/>
    <x v="4"/>
    <n v="25.4"/>
  </r>
  <r>
    <s v="CID399"/>
    <x v="376"/>
    <x v="8"/>
    <x v="3"/>
    <x v="3"/>
    <x v="1"/>
    <x v="0"/>
    <n v="59.98"/>
    <x v="397"/>
    <x v="398"/>
    <x v="2"/>
    <x v="4"/>
    <n v="51.64"/>
    <x v="398"/>
    <x v="1"/>
    <n v="32.840000000000003"/>
  </r>
  <r>
    <s v="CID400"/>
    <x v="377"/>
    <x v="3"/>
    <x v="5"/>
    <x v="15"/>
    <x v="0"/>
    <x v="1"/>
    <n v="16.32"/>
    <x v="398"/>
    <x v="399"/>
    <x v="2"/>
    <x v="4"/>
    <n v="89.03"/>
    <x v="399"/>
    <x v="3"/>
    <n v="23.75"/>
  </r>
  <r>
    <s v="CID401"/>
    <x v="378"/>
    <x v="4"/>
    <x v="1"/>
    <x v="10"/>
    <x v="0"/>
    <x v="4"/>
    <n v="73.69"/>
    <x v="399"/>
    <x v="400"/>
    <x v="1"/>
    <x v="3"/>
    <n v="93.23"/>
    <x v="400"/>
    <x v="3"/>
    <n v="32.29"/>
  </r>
  <r>
    <s v="CID402"/>
    <x v="379"/>
    <x v="0"/>
    <x v="0"/>
    <x v="11"/>
    <x v="0"/>
    <x v="1"/>
    <n v="38.770000000000003"/>
    <x v="400"/>
    <x v="401"/>
    <x v="2"/>
    <x v="2"/>
    <n v="136.97999999999999"/>
    <x v="401"/>
    <x v="2"/>
    <n v="33.950000000000003"/>
  </r>
  <r>
    <s v="CID403"/>
    <x v="380"/>
    <x v="12"/>
    <x v="0"/>
    <x v="6"/>
    <x v="1"/>
    <x v="2"/>
    <n v="77.959999999999994"/>
    <x v="401"/>
    <x v="402"/>
    <x v="2"/>
    <x v="2"/>
    <n v="181.1"/>
    <x v="402"/>
    <x v="3"/>
    <n v="22.24"/>
  </r>
  <r>
    <s v="CID404"/>
    <x v="381"/>
    <x v="11"/>
    <x v="6"/>
    <x v="17"/>
    <x v="0"/>
    <x v="3"/>
    <n v="97.13"/>
    <x v="402"/>
    <x v="403"/>
    <x v="0"/>
    <x v="0"/>
    <n v="105.52"/>
    <x v="403"/>
    <x v="2"/>
    <n v="22.22"/>
  </r>
  <r>
    <s v="CID405"/>
    <x v="46"/>
    <x v="8"/>
    <x v="3"/>
    <x v="12"/>
    <x v="1"/>
    <x v="1"/>
    <n v="40.520000000000003"/>
    <x v="403"/>
    <x v="404"/>
    <x v="1"/>
    <x v="1"/>
    <n v="243.46"/>
    <x v="404"/>
    <x v="1"/>
    <n v="27.21"/>
  </r>
  <r>
    <s v="CID406"/>
    <x v="382"/>
    <x v="12"/>
    <x v="3"/>
    <x v="12"/>
    <x v="1"/>
    <x v="1"/>
    <n v="61.98"/>
    <x v="404"/>
    <x v="405"/>
    <x v="3"/>
    <x v="0"/>
    <n v="110.58"/>
    <x v="405"/>
    <x v="2"/>
    <n v="24.85"/>
  </r>
  <r>
    <s v="CID407"/>
    <x v="237"/>
    <x v="4"/>
    <x v="1"/>
    <x v="10"/>
    <x v="2"/>
    <x v="0"/>
    <n v="35.479999999999997"/>
    <x v="405"/>
    <x v="406"/>
    <x v="0"/>
    <x v="3"/>
    <n v="242.42"/>
    <x v="406"/>
    <x v="4"/>
    <n v="29.24"/>
  </r>
  <r>
    <s v="CID408"/>
    <x v="383"/>
    <x v="0"/>
    <x v="6"/>
    <x v="18"/>
    <x v="1"/>
    <x v="4"/>
    <n v="68.849999999999994"/>
    <x v="406"/>
    <x v="407"/>
    <x v="0"/>
    <x v="0"/>
    <n v="78.09"/>
    <x v="407"/>
    <x v="3"/>
    <n v="33.9"/>
  </r>
  <r>
    <s v="CID409"/>
    <x v="384"/>
    <x v="7"/>
    <x v="2"/>
    <x v="19"/>
    <x v="1"/>
    <x v="0"/>
    <n v="45.56"/>
    <x v="407"/>
    <x v="408"/>
    <x v="3"/>
    <x v="3"/>
    <n v="235"/>
    <x v="408"/>
    <x v="3"/>
    <n v="27.85"/>
  </r>
  <r>
    <s v="CID410"/>
    <x v="385"/>
    <x v="8"/>
    <x v="3"/>
    <x v="12"/>
    <x v="1"/>
    <x v="2"/>
    <n v="70.180000000000007"/>
    <x v="408"/>
    <x v="409"/>
    <x v="0"/>
    <x v="0"/>
    <n v="113.86"/>
    <x v="409"/>
    <x v="1"/>
    <n v="31.84"/>
  </r>
  <r>
    <s v="CID411"/>
    <x v="386"/>
    <x v="0"/>
    <x v="3"/>
    <x v="12"/>
    <x v="1"/>
    <x v="3"/>
    <n v="66.38"/>
    <x v="409"/>
    <x v="410"/>
    <x v="2"/>
    <x v="3"/>
    <n v="266.07"/>
    <x v="410"/>
    <x v="2"/>
    <n v="23.47"/>
  </r>
  <r>
    <s v="CID412"/>
    <x v="387"/>
    <x v="10"/>
    <x v="0"/>
    <x v="0"/>
    <x v="2"/>
    <x v="1"/>
    <n v="53.62"/>
    <x v="410"/>
    <x v="411"/>
    <x v="1"/>
    <x v="4"/>
    <n v="190.17"/>
    <x v="411"/>
    <x v="0"/>
    <n v="23.71"/>
  </r>
  <r>
    <s v="CID413"/>
    <x v="388"/>
    <x v="4"/>
    <x v="2"/>
    <x v="2"/>
    <x v="0"/>
    <x v="4"/>
    <n v="2.82"/>
    <x v="411"/>
    <x v="412"/>
    <x v="2"/>
    <x v="4"/>
    <n v="206.31"/>
    <x v="412"/>
    <x v="3"/>
    <n v="24.14"/>
  </r>
  <r>
    <s v="CID414"/>
    <x v="389"/>
    <x v="3"/>
    <x v="3"/>
    <x v="3"/>
    <x v="2"/>
    <x v="4"/>
    <n v="16.02"/>
    <x v="412"/>
    <x v="413"/>
    <x v="3"/>
    <x v="1"/>
    <n v="71.95"/>
    <x v="413"/>
    <x v="3"/>
    <n v="33.090000000000003"/>
  </r>
  <r>
    <s v="CID415"/>
    <x v="390"/>
    <x v="2"/>
    <x v="6"/>
    <x v="20"/>
    <x v="2"/>
    <x v="0"/>
    <n v="91.06"/>
    <x v="413"/>
    <x v="414"/>
    <x v="3"/>
    <x v="2"/>
    <n v="101.69"/>
    <x v="414"/>
    <x v="3"/>
    <n v="30.26"/>
  </r>
  <r>
    <s v="CID416"/>
    <x v="163"/>
    <x v="8"/>
    <x v="2"/>
    <x v="19"/>
    <x v="0"/>
    <x v="4"/>
    <n v="43.58"/>
    <x v="414"/>
    <x v="415"/>
    <x v="3"/>
    <x v="3"/>
    <n v="214.06"/>
    <x v="415"/>
    <x v="1"/>
    <n v="24.76"/>
  </r>
  <r>
    <s v="CID417"/>
    <x v="391"/>
    <x v="2"/>
    <x v="0"/>
    <x v="0"/>
    <x v="2"/>
    <x v="4"/>
    <n v="72.98"/>
    <x v="415"/>
    <x v="416"/>
    <x v="1"/>
    <x v="0"/>
    <n v="290.3"/>
    <x v="416"/>
    <x v="4"/>
    <n v="22.28"/>
  </r>
  <r>
    <s v="CID418"/>
    <x v="289"/>
    <x v="0"/>
    <x v="6"/>
    <x v="17"/>
    <x v="0"/>
    <x v="1"/>
    <n v="27.42"/>
    <x v="416"/>
    <x v="417"/>
    <x v="3"/>
    <x v="1"/>
    <n v="199.09"/>
    <x v="417"/>
    <x v="0"/>
    <n v="25.39"/>
  </r>
  <r>
    <s v="CID419"/>
    <x v="392"/>
    <x v="12"/>
    <x v="6"/>
    <x v="20"/>
    <x v="2"/>
    <x v="2"/>
    <n v="65.31"/>
    <x v="417"/>
    <x v="418"/>
    <x v="1"/>
    <x v="0"/>
    <n v="172.86"/>
    <x v="418"/>
    <x v="1"/>
    <n v="23.39"/>
  </r>
  <r>
    <s v="CID420"/>
    <x v="393"/>
    <x v="1"/>
    <x v="2"/>
    <x v="2"/>
    <x v="0"/>
    <x v="2"/>
    <n v="98.84"/>
    <x v="418"/>
    <x v="419"/>
    <x v="0"/>
    <x v="4"/>
    <n v="94.27"/>
    <x v="419"/>
    <x v="2"/>
    <n v="33.01"/>
  </r>
  <r>
    <s v="CID421"/>
    <x v="394"/>
    <x v="1"/>
    <x v="4"/>
    <x v="16"/>
    <x v="2"/>
    <x v="3"/>
    <n v="77.849999999999994"/>
    <x v="419"/>
    <x v="420"/>
    <x v="1"/>
    <x v="0"/>
    <n v="230.05"/>
    <x v="420"/>
    <x v="3"/>
    <n v="28.91"/>
  </r>
  <r>
    <s v="CID422"/>
    <x v="395"/>
    <x v="6"/>
    <x v="5"/>
    <x v="7"/>
    <x v="2"/>
    <x v="5"/>
    <n v="87.9"/>
    <x v="420"/>
    <x v="421"/>
    <x v="1"/>
    <x v="2"/>
    <n v="295.95999999999998"/>
    <x v="421"/>
    <x v="2"/>
    <n v="27.74"/>
  </r>
  <r>
    <s v="CID423"/>
    <x v="396"/>
    <x v="4"/>
    <x v="2"/>
    <x v="2"/>
    <x v="2"/>
    <x v="0"/>
    <n v="46.67"/>
    <x v="421"/>
    <x v="422"/>
    <x v="0"/>
    <x v="0"/>
    <n v="222.49"/>
    <x v="422"/>
    <x v="2"/>
    <n v="32.450000000000003"/>
  </r>
  <r>
    <s v="CID424"/>
    <x v="397"/>
    <x v="5"/>
    <x v="0"/>
    <x v="6"/>
    <x v="1"/>
    <x v="1"/>
    <n v="93.85"/>
    <x v="422"/>
    <x v="423"/>
    <x v="3"/>
    <x v="2"/>
    <n v="148.27000000000001"/>
    <x v="423"/>
    <x v="0"/>
    <n v="22.68"/>
  </r>
  <r>
    <s v="CID425"/>
    <x v="398"/>
    <x v="9"/>
    <x v="3"/>
    <x v="3"/>
    <x v="2"/>
    <x v="2"/>
    <n v="65.209999999999994"/>
    <x v="423"/>
    <x v="424"/>
    <x v="3"/>
    <x v="0"/>
    <n v="229.59"/>
    <x v="424"/>
    <x v="0"/>
    <n v="30.59"/>
  </r>
  <r>
    <s v="CID426"/>
    <x v="399"/>
    <x v="4"/>
    <x v="5"/>
    <x v="15"/>
    <x v="0"/>
    <x v="1"/>
    <n v="61.6"/>
    <x v="424"/>
    <x v="425"/>
    <x v="1"/>
    <x v="2"/>
    <n v="60.98"/>
    <x v="425"/>
    <x v="4"/>
    <n v="28.48"/>
  </r>
  <r>
    <s v="CID427"/>
    <x v="400"/>
    <x v="2"/>
    <x v="6"/>
    <x v="17"/>
    <x v="0"/>
    <x v="5"/>
    <n v="42.54"/>
    <x v="425"/>
    <x v="426"/>
    <x v="1"/>
    <x v="3"/>
    <n v="122.2"/>
    <x v="426"/>
    <x v="1"/>
    <n v="34.409999999999997"/>
  </r>
  <r>
    <s v="CID428"/>
    <x v="401"/>
    <x v="0"/>
    <x v="4"/>
    <x v="16"/>
    <x v="2"/>
    <x v="3"/>
    <n v="85.69"/>
    <x v="426"/>
    <x v="427"/>
    <x v="0"/>
    <x v="1"/>
    <n v="202"/>
    <x v="427"/>
    <x v="1"/>
    <n v="28.83"/>
  </r>
  <r>
    <s v="CID429"/>
    <x v="103"/>
    <x v="5"/>
    <x v="3"/>
    <x v="5"/>
    <x v="0"/>
    <x v="1"/>
    <n v="1.65"/>
    <x v="427"/>
    <x v="428"/>
    <x v="2"/>
    <x v="0"/>
    <n v="204.94"/>
    <x v="428"/>
    <x v="1"/>
    <n v="20.73"/>
  </r>
  <r>
    <s v="CID430"/>
    <x v="402"/>
    <x v="0"/>
    <x v="0"/>
    <x v="11"/>
    <x v="1"/>
    <x v="5"/>
    <n v="67.03"/>
    <x v="428"/>
    <x v="429"/>
    <x v="2"/>
    <x v="2"/>
    <n v="132.78"/>
    <x v="429"/>
    <x v="0"/>
    <n v="26.25"/>
  </r>
  <r>
    <s v="CID431"/>
    <x v="403"/>
    <x v="12"/>
    <x v="0"/>
    <x v="11"/>
    <x v="0"/>
    <x v="2"/>
    <n v="70.28"/>
    <x v="429"/>
    <x v="430"/>
    <x v="3"/>
    <x v="4"/>
    <n v="291.57"/>
    <x v="430"/>
    <x v="4"/>
    <n v="33.97"/>
  </r>
  <r>
    <s v="CID432"/>
    <x v="404"/>
    <x v="4"/>
    <x v="2"/>
    <x v="2"/>
    <x v="1"/>
    <x v="3"/>
    <n v="84.49"/>
    <x v="430"/>
    <x v="431"/>
    <x v="1"/>
    <x v="3"/>
    <n v="83.64"/>
    <x v="431"/>
    <x v="4"/>
    <n v="24.94"/>
  </r>
  <r>
    <s v="CID433"/>
    <x v="405"/>
    <x v="1"/>
    <x v="6"/>
    <x v="20"/>
    <x v="0"/>
    <x v="5"/>
    <n v="11.82"/>
    <x v="431"/>
    <x v="432"/>
    <x v="0"/>
    <x v="4"/>
    <n v="170.92"/>
    <x v="432"/>
    <x v="4"/>
    <n v="26.41"/>
  </r>
  <r>
    <s v="CID434"/>
    <x v="406"/>
    <x v="12"/>
    <x v="2"/>
    <x v="19"/>
    <x v="0"/>
    <x v="0"/>
    <n v="92.78"/>
    <x v="432"/>
    <x v="433"/>
    <x v="1"/>
    <x v="3"/>
    <n v="179.93"/>
    <x v="433"/>
    <x v="2"/>
    <n v="32.119999999999997"/>
  </r>
  <r>
    <s v="CID435"/>
    <x v="407"/>
    <x v="9"/>
    <x v="6"/>
    <x v="20"/>
    <x v="1"/>
    <x v="5"/>
    <n v="12.7"/>
    <x v="433"/>
    <x v="434"/>
    <x v="0"/>
    <x v="0"/>
    <n v="234.37"/>
    <x v="434"/>
    <x v="3"/>
    <n v="34.979999999999997"/>
  </r>
  <r>
    <s v="CID436"/>
    <x v="408"/>
    <x v="3"/>
    <x v="2"/>
    <x v="2"/>
    <x v="0"/>
    <x v="4"/>
    <n v="2.12"/>
    <x v="434"/>
    <x v="435"/>
    <x v="2"/>
    <x v="0"/>
    <n v="113.6"/>
    <x v="435"/>
    <x v="4"/>
    <n v="27.6"/>
  </r>
  <r>
    <s v="CID437"/>
    <x v="409"/>
    <x v="10"/>
    <x v="1"/>
    <x v="10"/>
    <x v="2"/>
    <x v="3"/>
    <n v="72.72"/>
    <x v="435"/>
    <x v="436"/>
    <x v="0"/>
    <x v="1"/>
    <n v="258.01"/>
    <x v="436"/>
    <x v="4"/>
    <n v="33.83"/>
  </r>
  <r>
    <s v="CID438"/>
    <x v="410"/>
    <x v="11"/>
    <x v="4"/>
    <x v="4"/>
    <x v="1"/>
    <x v="3"/>
    <n v="16.38"/>
    <x v="436"/>
    <x v="437"/>
    <x v="2"/>
    <x v="3"/>
    <n v="165.62"/>
    <x v="437"/>
    <x v="0"/>
    <n v="32.53"/>
  </r>
  <r>
    <s v="CID439"/>
    <x v="411"/>
    <x v="10"/>
    <x v="0"/>
    <x v="6"/>
    <x v="0"/>
    <x v="1"/>
    <n v="2.85"/>
    <x v="437"/>
    <x v="438"/>
    <x v="2"/>
    <x v="4"/>
    <n v="249.88"/>
    <x v="438"/>
    <x v="4"/>
    <n v="20.99"/>
  </r>
  <r>
    <s v="CID440"/>
    <x v="412"/>
    <x v="10"/>
    <x v="4"/>
    <x v="4"/>
    <x v="2"/>
    <x v="2"/>
    <n v="53.89"/>
    <x v="438"/>
    <x v="439"/>
    <x v="1"/>
    <x v="0"/>
    <n v="96.84"/>
    <x v="439"/>
    <x v="4"/>
    <n v="30.58"/>
  </r>
  <r>
    <s v="CID441"/>
    <x v="413"/>
    <x v="5"/>
    <x v="2"/>
    <x v="2"/>
    <x v="2"/>
    <x v="4"/>
    <n v="37.79"/>
    <x v="439"/>
    <x v="440"/>
    <x v="2"/>
    <x v="2"/>
    <n v="104.03"/>
    <x v="440"/>
    <x v="0"/>
    <n v="25.61"/>
  </r>
  <r>
    <s v="CID442"/>
    <x v="414"/>
    <x v="3"/>
    <x v="1"/>
    <x v="14"/>
    <x v="1"/>
    <x v="3"/>
    <n v="90.59"/>
    <x v="440"/>
    <x v="441"/>
    <x v="2"/>
    <x v="2"/>
    <n v="280.91000000000003"/>
    <x v="441"/>
    <x v="3"/>
    <n v="24.66"/>
  </r>
  <r>
    <s v="CID443"/>
    <x v="415"/>
    <x v="3"/>
    <x v="4"/>
    <x v="4"/>
    <x v="0"/>
    <x v="4"/>
    <n v="21.31"/>
    <x v="441"/>
    <x v="442"/>
    <x v="1"/>
    <x v="3"/>
    <n v="228.42"/>
    <x v="442"/>
    <x v="0"/>
    <n v="24.66"/>
  </r>
  <r>
    <s v="CID444"/>
    <x v="416"/>
    <x v="10"/>
    <x v="4"/>
    <x v="4"/>
    <x v="2"/>
    <x v="5"/>
    <n v="11.21"/>
    <x v="442"/>
    <x v="443"/>
    <x v="2"/>
    <x v="4"/>
    <n v="55.62"/>
    <x v="443"/>
    <x v="1"/>
    <n v="24.81"/>
  </r>
  <r>
    <s v="CID445"/>
    <x v="417"/>
    <x v="10"/>
    <x v="2"/>
    <x v="19"/>
    <x v="2"/>
    <x v="2"/>
    <n v="12.65"/>
    <x v="443"/>
    <x v="444"/>
    <x v="2"/>
    <x v="3"/>
    <n v="78.62"/>
    <x v="444"/>
    <x v="3"/>
    <n v="27.71"/>
  </r>
  <r>
    <s v="CID446"/>
    <x v="418"/>
    <x v="10"/>
    <x v="2"/>
    <x v="19"/>
    <x v="2"/>
    <x v="4"/>
    <n v="94.38"/>
    <x v="444"/>
    <x v="445"/>
    <x v="3"/>
    <x v="2"/>
    <n v="92.82"/>
    <x v="445"/>
    <x v="4"/>
    <n v="28.11"/>
  </r>
  <r>
    <s v="CID447"/>
    <x v="419"/>
    <x v="11"/>
    <x v="1"/>
    <x v="14"/>
    <x v="1"/>
    <x v="5"/>
    <n v="38.979999999999997"/>
    <x v="445"/>
    <x v="446"/>
    <x v="1"/>
    <x v="3"/>
    <n v="94.75"/>
    <x v="446"/>
    <x v="3"/>
    <n v="29.44"/>
  </r>
  <r>
    <s v="CID448"/>
    <x v="420"/>
    <x v="10"/>
    <x v="2"/>
    <x v="2"/>
    <x v="1"/>
    <x v="2"/>
    <n v="76.08"/>
    <x v="446"/>
    <x v="447"/>
    <x v="0"/>
    <x v="1"/>
    <n v="293.42"/>
    <x v="447"/>
    <x v="2"/>
    <n v="28.52"/>
  </r>
  <r>
    <s v="CID449"/>
    <x v="421"/>
    <x v="9"/>
    <x v="1"/>
    <x v="14"/>
    <x v="0"/>
    <x v="2"/>
    <n v="71.31"/>
    <x v="447"/>
    <x v="448"/>
    <x v="3"/>
    <x v="1"/>
    <n v="286.86"/>
    <x v="448"/>
    <x v="3"/>
    <n v="23.87"/>
  </r>
  <r>
    <s v="CID450"/>
    <x v="422"/>
    <x v="11"/>
    <x v="6"/>
    <x v="20"/>
    <x v="2"/>
    <x v="0"/>
    <n v="45.88"/>
    <x v="448"/>
    <x v="449"/>
    <x v="1"/>
    <x v="3"/>
    <n v="78.22"/>
    <x v="449"/>
    <x v="1"/>
    <n v="24.23"/>
  </r>
  <r>
    <s v="CID451"/>
    <x v="423"/>
    <x v="3"/>
    <x v="5"/>
    <x v="7"/>
    <x v="1"/>
    <x v="3"/>
    <n v="81.94"/>
    <x v="449"/>
    <x v="450"/>
    <x v="2"/>
    <x v="3"/>
    <n v="189.04"/>
    <x v="450"/>
    <x v="4"/>
    <n v="27.99"/>
  </r>
  <r>
    <s v="CID452"/>
    <x v="424"/>
    <x v="12"/>
    <x v="3"/>
    <x v="3"/>
    <x v="1"/>
    <x v="1"/>
    <n v="16.739999999999998"/>
    <x v="450"/>
    <x v="451"/>
    <x v="0"/>
    <x v="3"/>
    <n v="135.18"/>
    <x v="451"/>
    <x v="3"/>
    <n v="26.47"/>
  </r>
  <r>
    <s v="CID453"/>
    <x v="425"/>
    <x v="3"/>
    <x v="4"/>
    <x v="16"/>
    <x v="0"/>
    <x v="4"/>
    <n v="18.14"/>
    <x v="451"/>
    <x v="452"/>
    <x v="1"/>
    <x v="1"/>
    <n v="78.58"/>
    <x v="452"/>
    <x v="4"/>
    <n v="28.33"/>
  </r>
  <r>
    <s v="CID454"/>
    <x v="426"/>
    <x v="4"/>
    <x v="6"/>
    <x v="18"/>
    <x v="1"/>
    <x v="1"/>
    <n v="11.77"/>
    <x v="452"/>
    <x v="453"/>
    <x v="1"/>
    <x v="3"/>
    <n v="131.85"/>
    <x v="453"/>
    <x v="0"/>
    <n v="21.36"/>
  </r>
  <r>
    <s v="CID455"/>
    <x v="427"/>
    <x v="7"/>
    <x v="4"/>
    <x v="9"/>
    <x v="1"/>
    <x v="4"/>
    <n v="66.430000000000007"/>
    <x v="453"/>
    <x v="454"/>
    <x v="2"/>
    <x v="4"/>
    <n v="147.5"/>
    <x v="454"/>
    <x v="1"/>
    <n v="23.08"/>
  </r>
  <r>
    <s v="CID456"/>
    <x v="428"/>
    <x v="9"/>
    <x v="5"/>
    <x v="15"/>
    <x v="2"/>
    <x v="2"/>
    <n v="98.28"/>
    <x v="454"/>
    <x v="455"/>
    <x v="0"/>
    <x v="4"/>
    <n v="195.68"/>
    <x v="455"/>
    <x v="3"/>
    <n v="26.06"/>
  </r>
  <r>
    <s v="CID457"/>
    <x v="429"/>
    <x v="3"/>
    <x v="1"/>
    <x v="14"/>
    <x v="1"/>
    <x v="5"/>
    <n v="70.63"/>
    <x v="455"/>
    <x v="456"/>
    <x v="2"/>
    <x v="1"/>
    <n v="77.42"/>
    <x v="456"/>
    <x v="0"/>
    <n v="23.53"/>
  </r>
  <r>
    <s v="CID458"/>
    <x v="430"/>
    <x v="8"/>
    <x v="0"/>
    <x v="11"/>
    <x v="2"/>
    <x v="3"/>
    <n v="38.770000000000003"/>
    <x v="456"/>
    <x v="457"/>
    <x v="3"/>
    <x v="1"/>
    <n v="168.72"/>
    <x v="457"/>
    <x v="2"/>
    <n v="32.65"/>
  </r>
  <r>
    <s v="CID459"/>
    <x v="431"/>
    <x v="11"/>
    <x v="6"/>
    <x v="18"/>
    <x v="1"/>
    <x v="4"/>
    <n v="2.15"/>
    <x v="457"/>
    <x v="458"/>
    <x v="3"/>
    <x v="0"/>
    <n v="230.33"/>
    <x v="458"/>
    <x v="2"/>
    <n v="34.619999999999997"/>
  </r>
  <r>
    <s v="CID460"/>
    <x v="432"/>
    <x v="7"/>
    <x v="6"/>
    <x v="20"/>
    <x v="2"/>
    <x v="3"/>
    <n v="89.46"/>
    <x v="458"/>
    <x v="459"/>
    <x v="1"/>
    <x v="1"/>
    <n v="205.81"/>
    <x v="459"/>
    <x v="2"/>
    <n v="28.28"/>
  </r>
  <r>
    <s v="CID461"/>
    <x v="5"/>
    <x v="2"/>
    <x v="2"/>
    <x v="13"/>
    <x v="2"/>
    <x v="1"/>
    <n v="1.74"/>
    <x v="459"/>
    <x v="460"/>
    <x v="3"/>
    <x v="0"/>
    <n v="228.03"/>
    <x v="460"/>
    <x v="3"/>
    <n v="28.65"/>
  </r>
  <r>
    <s v="CID462"/>
    <x v="433"/>
    <x v="8"/>
    <x v="5"/>
    <x v="8"/>
    <x v="2"/>
    <x v="5"/>
    <n v="58.45"/>
    <x v="460"/>
    <x v="461"/>
    <x v="0"/>
    <x v="3"/>
    <n v="85.52"/>
    <x v="461"/>
    <x v="4"/>
    <n v="26.97"/>
  </r>
  <r>
    <s v="CID463"/>
    <x v="434"/>
    <x v="1"/>
    <x v="5"/>
    <x v="7"/>
    <x v="2"/>
    <x v="2"/>
    <n v="74.430000000000007"/>
    <x v="461"/>
    <x v="462"/>
    <x v="0"/>
    <x v="4"/>
    <n v="221.02"/>
    <x v="462"/>
    <x v="3"/>
    <n v="24.69"/>
  </r>
  <r>
    <s v="CID464"/>
    <x v="435"/>
    <x v="6"/>
    <x v="5"/>
    <x v="7"/>
    <x v="2"/>
    <x v="1"/>
    <n v="90.7"/>
    <x v="462"/>
    <x v="463"/>
    <x v="2"/>
    <x v="3"/>
    <n v="155.25"/>
    <x v="463"/>
    <x v="4"/>
    <n v="24.34"/>
  </r>
  <r>
    <s v="CID465"/>
    <x v="436"/>
    <x v="8"/>
    <x v="0"/>
    <x v="11"/>
    <x v="0"/>
    <x v="0"/>
    <n v="7.08"/>
    <x v="463"/>
    <x v="464"/>
    <x v="3"/>
    <x v="0"/>
    <n v="193.21"/>
    <x v="464"/>
    <x v="4"/>
    <n v="32.130000000000003"/>
  </r>
  <r>
    <s v="CID466"/>
    <x v="437"/>
    <x v="5"/>
    <x v="2"/>
    <x v="2"/>
    <x v="1"/>
    <x v="1"/>
    <n v="8.61"/>
    <x v="464"/>
    <x v="465"/>
    <x v="2"/>
    <x v="3"/>
    <n v="83.13"/>
    <x v="465"/>
    <x v="4"/>
    <n v="20.21"/>
  </r>
  <r>
    <s v="CID467"/>
    <x v="438"/>
    <x v="8"/>
    <x v="6"/>
    <x v="20"/>
    <x v="1"/>
    <x v="2"/>
    <n v="45.22"/>
    <x v="465"/>
    <x v="466"/>
    <x v="2"/>
    <x v="4"/>
    <n v="245.63"/>
    <x v="412"/>
    <x v="1"/>
    <n v="31.99"/>
  </r>
  <r>
    <s v="CID468"/>
    <x v="439"/>
    <x v="12"/>
    <x v="1"/>
    <x v="1"/>
    <x v="1"/>
    <x v="3"/>
    <n v="75.52"/>
    <x v="466"/>
    <x v="467"/>
    <x v="1"/>
    <x v="0"/>
    <n v="109.49"/>
    <x v="466"/>
    <x v="1"/>
    <n v="23.16"/>
  </r>
  <r>
    <s v="CID469"/>
    <x v="440"/>
    <x v="7"/>
    <x v="0"/>
    <x v="11"/>
    <x v="1"/>
    <x v="5"/>
    <n v="17.59"/>
    <x v="467"/>
    <x v="468"/>
    <x v="2"/>
    <x v="1"/>
    <n v="169.07"/>
    <x v="467"/>
    <x v="3"/>
    <n v="23.5"/>
  </r>
  <r>
    <s v="CID470"/>
    <x v="441"/>
    <x v="3"/>
    <x v="2"/>
    <x v="13"/>
    <x v="2"/>
    <x v="5"/>
    <n v="29.59"/>
    <x v="468"/>
    <x v="469"/>
    <x v="1"/>
    <x v="4"/>
    <n v="219.62"/>
    <x v="468"/>
    <x v="0"/>
    <n v="21.46"/>
  </r>
  <r>
    <s v="CID471"/>
    <x v="442"/>
    <x v="12"/>
    <x v="4"/>
    <x v="16"/>
    <x v="0"/>
    <x v="0"/>
    <n v="34.159999999999997"/>
    <x v="469"/>
    <x v="470"/>
    <x v="0"/>
    <x v="2"/>
    <n v="113.84"/>
    <x v="469"/>
    <x v="2"/>
    <n v="31.6"/>
  </r>
  <r>
    <s v="CID472"/>
    <x v="443"/>
    <x v="12"/>
    <x v="0"/>
    <x v="6"/>
    <x v="1"/>
    <x v="1"/>
    <n v="34.4"/>
    <x v="470"/>
    <x v="471"/>
    <x v="3"/>
    <x v="1"/>
    <n v="128.32"/>
    <x v="470"/>
    <x v="0"/>
    <n v="32.479999999999997"/>
  </r>
  <r>
    <s v="CID473"/>
    <x v="444"/>
    <x v="5"/>
    <x v="1"/>
    <x v="10"/>
    <x v="0"/>
    <x v="3"/>
    <n v="35.799999999999997"/>
    <x v="471"/>
    <x v="472"/>
    <x v="2"/>
    <x v="2"/>
    <n v="98.27"/>
    <x v="471"/>
    <x v="0"/>
    <n v="20.85"/>
  </r>
  <r>
    <s v="CID474"/>
    <x v="445"/>
    <x v="5"/>
    <x v="5"/>
    <x v="15"/>
    <x v="0"/>
    <x v="5"/>
    <n v="9.5500000000000007"/>
    <x v="472"/>
    <x v="473"/>
    <x v="1"/>
    <x v="0"/>
    <n v="214.1"/>
    <x v="472"/>
    <x v="3"/>
    <n v="32.049999999999997"/>
  </r>
  <r>
    <s v="CID475"/>
    <x v="321"/>
    <x v="9"/>
    <x v="0"/>
    <x v="0"/>
    <x v="2"/>
    <x v="3"/>
    <n v="66.39"/>
    <x v="473"/>
    <x v="474"/>
    <x v="1"/>
    <x v="4"/>
    <n v="280.67"/>
    <x v="473"/>
    <x v="2"/>
    <n v="30.38"/>
  </r>
  <r>
    <s v="CID476"/>
    <x v="446"/>
    <x v="9"/>
    <x v="6"/>
    <x v="17"/>
    <x v="1"/>
    <x v="3"/>
    <n v="39.47"/>
    <x v="474"/>
    <x v="475"/>
    <x v="2"/>
    <x v="3"/>
    <n v="288.89999999999998"/>
    <x v="474"/>
    <x v="2"/>
    <n v="21.04"/>
  </r>
  <r>
    <s v="CID477"/>
    <x v="447"/>
    <x v="11"/>
    <x v="3"/>
    <x v="3"/>
    <x v="2"/>
    <x v="5"/>
    <n v="15.24"/>
    <x v="475"/>
    <x v="476"/>
    <x v="3"/>
    <x v="0"/>
    <n v="203.49"/>
    <x v="475"/>
    <x v="2"/>
    <n v="30.73"/>
  </r>
  <r>
    <s v="CID478"/>
    <x v="448"/>
    <x v="12"/>
    <x v="1"/>
    <x v="1"/>
    <x v="0"/>
    <x v="0"/>
    <n v="77.95"/>
    <x v="476"/>
    <x v="477"/>
    <x v="1"/>
    <x v="2"/>
    <n v="87.21"/>
    <x v="476"/>
    <x v="0"/>
    <n v="29.97"/>
  </r>
  <r>
    <s v="CID479"/>
    <x v="449"/>
    <x v="4"/>
    <x v="0"/>
    <x v="11"/>
    <x v="0"/>
    <x v="5"/>
    <n v="52.02"/>
    <x v="477"/>
    <x v="478"/>
    <x v="1"/>
    <x v="1"/>
    <n v="169.53"/>
    <x v="477"/>
    <x v="0"/>
    <n v="28.1"/>
  </r>
  <r>
    <s v="CID480"/>
    <x v="450"/>
    <x v="5"/>
    <x v="0"/>
    <x v="11"/>
    <x v="0"/>
    <x v="1"/>
    <n v="93.57"/>
    <x v="478"/>
    <x v="479"/>
    <x v="2"/>
    <x v="4"/>
    <n v="150.15"/>
    <x v="478"/>
    <x v="0"/>
    <n v="25.48"/>
  </r>
  <r>
    <s v="CID481"/>
    <x v="451"/>
    <x v="7"/>
    <x v="1"/>
    <x v="14"/>
    <x v="2"/>
    <x v="2"/>
    <n v="21.11"/>
    <x v="479"/>
    <x v="480"/>
    <x v="1"/>
    <x v="1"/>
    <n v="215.18"/>
    <x v="479"/>
    <x v="2"/>
    <n v="33.450000000000003"/>
  </r>
  <r>
    <s v="CID482"/>
    <x v="452"/>
    <x v="6"/>
    <x v="1"/>
    <x v="10"/>
    <x v="0"/>
    <x v="4"/>
    <n v="14.85"/>
    <x v="480"/>
    <x v="481"/>
    <x v="3"/>
    <x v="3"/>
    <n v="172.31"/>
    <x v="480"/>
    <x v="3"/>
    <n v="29.65"/>
  </r>
  <r>
    <s v="CID483"/>
    <x v="453"/>
    <x v="0"/>
    <x v="4"/>
    <x v="16"/>
    <x v="1"/>
    <x v="0"/>
    <n v="6.55"/>
    <x v="481"/>
    <x v="482"/>
    <x v="0"/>
    <x v="2"/>
    <n v="151.38"/>
    <x v="481"/>
    <x v="3"/>
    <n v="26.88"/>
  </r>
  <r>
    <s v="CID484"/>
    <x v="454"/>
    <x v="1"/>
    <x v="0"/>
    <x v="6"/>
    <x v="1"/>
    <x v="5"/>
    <n v="73.81"/>
    <x v="482"/>
    <x v="483"/>
    <x v="0"/>
    <x v="0"/>
    <n v="167.8"/>
    <x v="482"/>
    <x v="0"/>
    <n v="23.64"/>
  </r>
  <r>
    <s v="CID485"/>
    <x v="455"/>
    <x v="0"/>
    <x v="6"/>
    <x v="20"/>
    <x v="2"/>
    <x v="5"/>
    <n v="46.16"/>
    <x v="483"/>
    <x v="484"/>
    <x v="0"/>
    <x v="0"/>
    <n v="254.45"/>
    <x v="483"/>
    <x v="2"/>
    <n v="28.92"/>
  </r>
  <r>
    <s v="CID486"/>
    <x v="456"/>
    <x v="4"/>
    <x v="4"/>
    <x v="4"/>
    <x v="2"/>
    <x v="2"/>
    <n v="68.16"/>
    <x v="484"/>
    <x v="485"/>
    <x v="3"/>
    <x v="4"/>
    <n v="130.4"/>
    <x v="484"/>
    <x v="1"/>
    <n v="31.46"/>
  </r>
  <r>
    <s v="CID487"/>
    <x v="457"/>
    <x v="9"/>
    <x v="1"/>
    <x v="1"/>
    <x v="1"/>
    <x v="3"/>
    <n v="17.64"/>
    <x v="485"/>
    <x v="486"/>
    <x v="3"/>
    <x v="2"/>
    <n v="159.66999999999999"/>
    <x v="485"/>
    <x v="0"/>
    <n v="22"/>
  </r>
  <r>
    <s v="CID488"/>
    <x v="458"/>
    <x v="5"/>
    <x v="1"/>
    <x v="14"/>
    <x v="1"/>
    <x v="5"/>
    <n v="18.760000000000002"/>
    <x v="486"/>
    <x v="487"/>
    <x v="2"/>
    <x v="2"/>
    <n v="154.06"/>
    <x v="486"/>
    <x v="2"/>
    <n v="30.39"/>
  </r>
  <r>
    <s v="CID489"/>
    <x v="459"/>
    <x v="3"/>
    <x v="0"/>
    <x v="11"/>
    <x v="2"/>
    <x v="3"/>
    <n v="24.69"/>
    <x v="487"/>
    <x v="488"/>
    <x v="0"/>
    <x v="4"/>
    <n v="199.07"/>
    <x v="487"/>
    <x v="3"/>
    <n v="34.25"/>
  </r>
  <r>
    <s v="CID490"/>
    <x v="460"/>
    <x v="3"/>
    <x v="3"/>
    <x v="3"/>
    <x v="1"/>
    <x v="4"/>
    <n v="12.63"/>
    <x v="12"/>
    <x v="489"/>
    <x v="0"/>
    <x v="2"/>
    <n v="204.73"/>
    <x v="488"/>
    <x v="3"/>
    <n v="27.61"/>
  </r>
  <r>
    <s v="CID491"/>
    <x v="461"/>
    <x v="1"/>
    <x v="2"/>
    <x v="13"/>
    <x v="1"/>
    <x v="4"/>
    <n v="68.84"/>
    <x v="488"/>
    <x v="490"/>
    <x v="1"/>
    <x v="4"/>
    <n v="174.38"/>
    <x v="489"/>
    <x v="0"/>
    <n v="20.81"/>
  </r>
  <r>
    <s v="CID492"/>
    <x v="462"/>
    <x v="9"/>
    <x v="6"/>
    <x v="18"/>
    <x v="2"/>
    <x v="1"/>
    <n v="80.709999999999994"/>
    <x v="489"/>
    <x v="491"/>
    <x v="0"/>
    <x v="1"/>
    <n v="76.11"/>
    <x v="490"/>
    <x v="3"/>
    <n v="22.64"/>
  </r>
  <r>
    <s v="CID493"/>
    <x v="437"/>
    <x v="5"/>
    <x v="5"/>
    <x v="7"/>
    <x v="1"/>
    <x v="2"/>
    <n v="45.04"/>
    <x v="490"/>
    <x v="492"/>
    <x v="1"/>
    <x v="4"/>
    <n v="99.69"/>
    <x v="491"/>
    <x v="4"/>
    <n v="23.45"/>
  </r>
  <r>
    <s v="CID494"/>
    <x v="87"/>
    <x v="1"/>
    <x v="6"/>
    <x v="17"/>
    <x v="0"/>
    <x v="3"/>
    <n v="87.12"/>
    <x v="491"/>
    <x v="493"/>
    <x v="3"/>
    <x v="2"/>
    <n v="68.38"/>
    <x v="492"/>
    <x v="0"/>
    <n v="33.36"/>
  </r>
  <r>
    <s v="CID495"/>
    <x v="463"/>
    <x v="2"/>
    <x v="5"/>
    <x v="8"/>
    <x v="2"/>
    <x v="0"/>
    <n v="14.5"/>
    <x v="492"/>
    <x v="494"/>
    <x v="2"/>
    <x v="0"/>
    <n v="293.89"/>
    <x v="493"/>
    <x v="1"/>
    <n v="20.48"/>
  </r>
  <r>
    <s v="CID496"/>
    <x v="464"/>
    <x v="5"/>
    <x v="2"/>
    <x v="13"/>
    <x v="2"/>
    <x v="3"/>
    <n v="42.4"/>
    <x v="493"/>
    <x v="495"/>
    <x v="3"/>
    <x v="3"/>
    <n v="271.60000000000002"/>
    <x v="494"/>
    <x v="3"/>
    <n v="33.58"/>
  </r>
  <r>
    <s v="CID497"/>
    <x v="465"/>
    <x v="5"/>
    <x v="4"/>
    <x v="4"/>
    <x v="2"/>
    <x v="1"/>
    <n v="49.43"/>
    <x v="494"/>
    <x v="496"/>
    <x v="1"/>
    <x v="2"/>
    <n v="259.25"/>
    <x v="495"/>
    <x v="2"/>
    <n v="31.04"/>
  </r>
  <r>
    <s v="CID498"/>
    <x v="466"/>
    <x v="12"/>
    <x v="2"/>
    <x v="2"/>
    <x v="1"/>
    <x v="1"/>
    <n v="94.68"/>
    <x v="495"/>
    <x v="497"/>
    <x v="0"/>
    <x v="0"/>
    <n v="154.44"/>
    <x v="496"/>
    <x v="2"/>
    <n v="31"/>
  </r>
  <r>
    <s v="CID499"/>
    <x v="467"/>
    <x v="4"/>
    <x v="3"/>
    <x v="12"/>
    <x v="2"/>
    <x v="2"/>
    <n v="82.31"/>
    <x v="496"/>
    <x v="498"/>
    <x v="3"/>
    <x v="4"/>
    <n v="70.77"/>
    <x v="497"/>
    <x v="2"/>
    <n v="34.25"/>
  </r>
  <r>
    <s v="CID500"/>
    <x v="468"/>
    <x v="11"/>
    <x v="2"/>
    <x v="13"/>
    <x v="1"/>
    <x v="5"/>
    <n v="48.5"/>
    <x v="497"/>
    <x v="499"/>
    <x v="1"/>
    <x v="2"/>
    <n v="264.48"/>
    <x v="498"/>
    <x v="0"/>
    <n v="3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95CC7-9B8A-462D-B4CF-8E2C633FB17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4:B28" firstHeaderRow="1" firstDataRow="1" firstDataCol="1"/>
  <pivotFields count="16">
    <pivotField showAll="0"/>
    <pivotField numFmtId="164" showAll="0">
      <items count="470">
        <item x="0"/>
        <item x="379"/>
        <item x="45"/>
        <item x="293"/>
        <item x="55"/>
        <item x="79"/>
        <item x="289"/>
        <item x="73"/>
        <item x="336"/>
        <item x="172"/>
        <item x="402"/>
        <item x="334"/>
        <item x="119"/>
        <item x="383"/>
        <item x="156"/>
        <item x="108"/>
        <item x="386"/>
        <item x="25"/>
        <item x="453"/>
        <item x="106"/>
        <item x="236"/>
        <item x="286"/>
        <item x="300"/>
        <item x="455"/>
        <item x="59"/>
        <item x="142"/>
        <item x="165"/>
        <item x="211"/>
        <item x="335"/>
        <item x="302"/>
        <item x="401"/>
        <item x="254"/>
        <item x="124"/>
        <item x="75"/>
        <item x="183"/>
        <item x="103"/>
        <item x="445"/>
        <item x="324"/>
        <item x="57"/>
        <item x="444"/>
        <item x="217"/>
        <item x="9"/>
        <item x="173"/>
        <item x="450"/>
        <item x="277"/>
        <item x="317"/>
        <item x="308"/>
        <item x="117"/>
        <item x="437"/>
        <item x="6"/>
        <item x="102"/>
        <item x="458"/>
        <item x="198"/>
        <item x="127"/>
        <item x="238"/>
        <item x="350"/>
        <item x="333"/>
        <item x="137"/>
        <item x="77"/>
        <item x="140"/>
        <item x="397"/>
        <item x="91"/>
        <item x="292"/>
        <item x="413"/>
        <item x="314"/>
        <item x="93"/>
        <item x="209"/>
        <item x="199"/>
        <item x="275"/>
        <item x="465"/>
        <item x="30"/>
        <item x="371"/>
        <item x="200"/>
        <item x="372"/>
        <item x="52"/>
        <item x="464"/>
        <item x="400"/>
        <item x="373"/>
        <item x="260"/>
        <item x="304"/>
        <item x="186"/>
        <item x="263"/>
        <item x="8"/>
        <item x="148"/>
        <item x="123"/>
        <item x="332"/>
        <item x="219"/>
        <item x="253"/>
        <item x="230"/>
        <item x="259"/>
        <item x="280"/>
        <item x="192"/>
        <item x="2"/>
        <item x="243"/>
        <item x="5"/>
        <item x="162"/>
        <item x="239"/>
        <item x="234"/>
        <item x="391"/>
        <item x="390"/>
        <item x="24"/>
        <item x="135"/>
        <item x="190"/>
        <item x="208"/>
        <item x="110"/>
        <item x="330"/>
        <item x="252"/>
        <item x="18"/>
        <item x="463"/>
        <item x="15"/>
        <item x="323"/>
        <item x="87"/>
        <item x="1"/>
        <item x="21"/>
        <item x="353"/>
        <item x="216"/>
        <item x="393"/>
        <item x="129"/>
        <item x="301"/>
        <item x="319"/>
        <item x="84"/>
        <item x="405"/>
        <item x="224"/>
        <item x="454"/>
        <item x="86"/>
        <item x="255"/>
        <item x="329"/>
        <item x="461"/>
        <item x="242"/>
        <item x="187"/>
        <item x="37"/>
        <item x="313"/>
        <item x="158"/>
        <item x="434"/>
        <item x="337"/>
        <item x="229"/>
        <item x="362"/>
        <item x="270"/>
        <item x="50"/>
        <item x="344"/>
        <item x="151"/>
        <item x="203"/>
        <item x="40"/>
        <item x="231"/>
        <item x="394"/>
        <item x="42"/>
        <item x="35"/>
        <item x="235"/>
        <item x="226"/>
        <item x="359"/>
        <item x="421"/>
        <item x="281"/>
        <item x="181"/>
        <item x="311"/>
        <item x="69"/>
        <item x="272"/>
        <item x="80"/>
        <item x="446"/>
        <item x="85"/>
        <item x="457"/>
        <item x="407"/>
        <item x="366"/>
        <item x="284"/>
        <item x="462"/>
        <item x="44"/>
        <item x="363"/>
        <item x="66"/>
        <item x="428"/>
        <item x="167"/>
        <item x="195"/>
        <item x="22"/>
        <item x="152"/>
        <item x="321"/>
        <item x="398"/>
        <item x="347"/>
        <item x="298"/>
        <item x="56"/>
        <item x="411"/>
        <item x="274"/>
        <item x="139"/>
        <item x="267"/>
        <item x="116"/>
        <item x="273"/>
        <item x="295"/>
        <item x="171"/>
        <item x="194"/>
        <item x="420"/>
        <item x="369"/>
        <item x="118"/>
        <item x="70"/>
        <item x="27"/>
        <item x="95"/>
        <item x="105"/>
        <item x="249"/>
        <item x="143"/>
        <item x="23"/>
        <item x="418"/>
        <item x="276"/>
        <item x="416"/>
        <item x="417"/>
        <item x="412"/>
        <item x="264"/>
        <item x="213"/>
        <item x="241"/>
        <item x="409"/>
        <item x="206"/>
        <item x="387"/>
        <item x="233"/>
        <item x="449"/>
        <item x="168"/>
        <item x="388"/>
        <item x="378"/>
        <item x="312"/>
        <item x="161"/>
        <item x="357"/>
        <item x="375"/>
        <item x="205"/>
        <item x="265"/>
        <item x="399"/>
        <item x="248"/>
        <item x="34"/>
        <item x="370"/>
        <item x="426"/>
        <item x="345"/>
        <item x="256"/>
        <item x="404"/>
        <item x="296"/>
        <item x="240"/>
        <item x="68"/>
        <item x="17"/>
        <item x="222"/>
        <item x="310"/>
        <item x="467"/>
        <item x="4"/>
        <item x="456"/>
        <item x="126"/>
        <item x="16"/>
        <item x="191"/>
        <item x="99"/>
        <item x="31"/>
        <item x="237"/>
        <item x="396"/>
        <item x="268"/>
        <item x="232"/>
        <item x="141"/>
        <item x="20"/>
        <item x="287"/>
        <item x="360"/>
        <item x="452"/>
        <item x="282"/>
        <item x="343"/>
        <item x="352"/>
        <item x="120"/>
        <item x="11"/>
        <item x="122"/>
        <item x="331"/>
        <item x="138"/>
        <item x="29"/>
        <item x="279"/>
        <item x="67"/>
        <item x="339"/>
        <item x="291"/>
        <item x="193"/>
        <item x="354"/>
        <item x="180"/>
        <item x="435"/>
        <item x="78"/>
        <item x="395"/>
        <item x="149"/>
        <item x="63"/>
        <item x="160"/>
        <item x="221"/>
        <item x="315"/>
        <item x="176"/>
        <item x="155"/>
        <item x="115"/>
        <item x="207"/>
        <item x="294"/>
        <item x="214"/>
        <item x="53"/>
        <item x="307"/>
        <item x="415"/>
        <item x="271"/>
        <item x="283"/>
        <item x="377"/>
        <item x="408"/>
        <item x="96"/>
        <item x="71"/>
        <item x="92"/>
        <item x="177"/>
        <item x="185"/>
        <item x="247"/>
        <item x="425"/>
        <item x="136"/>
        <item x="356"/>
        <item x="174"/>
        <item x="355"/>
        <item x="179"/>
        <item x="297"/>
        <item x="367"/>
        <item x="14"/>
        <item x="76"/>
        <item x="145"/>
        <item x="169"/>
        <item x="414"/>
        <item x="423"/>
        <item x="26"/>
        <item x="460"/>
        <item x="10"/>
        <item x="429"/>
        <item x="3"/>
        <item x="188"/>
        <item x="7"/>
        <item x="33"/>
        <item x="389"/>
        <item x="150"/>
        <item x="459"/>
        <item x="374"/>
        <item x="351"/>
        <item x="441"/>
        <item x="130"/>
        <item x="403"/>
        <item x="157"/>
        <item x="448"/>
        <item x="175"/>
        <item x="43"/>
        <item x="97"/>
        <item x="182"/>
        <item x="442"/>
        <item x="318"/>
        <item x="60"/>
        <item x="406"/>
        <item x="225"/>
        <item x="443"/>
        <item x="327"/>
        <item x="58"/>
        <item x="439"/>
        <item x="100"/>
        <item x="424"/>
        <item x="218"/>
        <item x="348"/>
        <item x="380"/>
        <item x="466"/>
        <item x="202"/>
        <item x="104"/>
        <item x="382"/>
        <item x="61"/>
        <item x="62"/>
        <item x="392"/>
        <item x="101"/>
        <item x="121"/>
        <item x="325"/>
        <item x="197"/>
        <item x="349"/>
        <item x="223"/>
        <item x="144"/>
        <item x="65"/>
        <item x="166"/>
        <item x="111"/>
        <item x="381"/>
        <item x="170"/>
        <item x="81"/>
        <item x="215"/>
        <item x="154"/>
        <item x="290"/>
        <item x="32"/>
        <item x="204"/>
        <item x="107"/>
        <item x="431"/>
        <item x="410"/>
        <item x="83"/>
        <item x="47"/>
        <item x="128"/>
        <item x="419"/>
        <item x="468"/>
        <item x="159"/>
        <item x="184"/>
        <item x="322"/>
        <item x="447"/>
        <item x="49"/>
        <item x="109"/>
        <item x="422"/>
        <item x="306"/>
        <item x="48"/>
        <item x="364"/>
        <item x="212"/>
        <item x="326"/>
        <item x="258"/>
        <item x="39"/>
        <item x="82"/>
        <item x="153"/>
        <item x="201"/>
        <item x="266"/>
        <item x="189"/>
        <item x="220"/>
        <item x="19"/>
        <item x="303"/>
        <item x="246"/>
        <item x="163"/>
        <item x="436"/>
        <item x="133"/>
        <item x="341"/>
        <item x="178"/>
        <item x="376"/>
        <item x="438"/>
        <item x="13"/>
        <item x="196"/>
        <item x="278"/>
        <item x="227"/>
        <item x="114"/>
        <item x="46"/>
        <item x="385"/>
        <item x="250"/>
        <item x="164"/>
        <item x="41"/>
        <item x="94"/>
        <item x="433"/>
        <item x="146"/>
        <item x="340"/>
        <item x="89"/>
        <item x="430"/>
        <item x="64"/>
        <item x="309"/>
        <item x="98"/>
        <item x="131"/>
        <item x="51"/>
        <item x="74"/>
        <item x="113"/>
        <item x="285"/>
        <item x="90"/>
        <item x="358"/>
        <item x="251"/>
        <item x="368"/>
        <item x="257"/>
        <item x="125"/>
        <item x="134"/>
        <item x="54"/>
        <item x="228"/>
        <item x="305"/>
        <item x="147"/>
        <item x="320"/>
        <item x="328"/>
        <item x="338"/>
        <item x="12"/>
        <item x="261"/>
        <item x="36"/>
        <item x="361"/>
        <item x="262"/>
        <item x="132"/>
        <item x="28"/>
        <item x="269"/>
        <item x="365"/>
        <item x="88"/>
        <item x="346"/>
        <item x="384"/>
        <item x="427"/>
        <item x="316"/>
        <item x="440"/>
        <item x="342"/>
        <item x="210"/>
        <item x="245"/>
        <item x="244"/>
        <item x="288"/>
        <item x="72"/>
        <item x="451"/>
        <item x="299"/>
        <item x="432"/>
        <item x="38"/>
        <item x="112"/>
        <item t="default"/>
      </items>
    </pivotField>
    <pivotField axis="axisRow"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pivotField showAll="0"/>
    <pivotField showAll="0">
      <items count="7">
        <item x="2"/>
        <item x="0"/>
        <item x="1"/>
        <item x="4"/>
        <item x="3"/>
        <item x="5"/>
        <item t="default"/>
      </items>
    </pivotField>
    <pivotField showAll="0"/>
    <pivotField showAll="0"/>
    <pivotField dataField="1" showAll="0"/>
    <pivotField showAll="0">
      <items count="5">
        <item x="3"/>
        <item x="0"/>
        <item x="1"/>
        <item x="2"/>
        <item t="default"/>
      </items>
    </pivotField>
    <pivotField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Yield (Kg/Ha)"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4" name="Date">
      <autoFilter ref="A1">
        <filterColumn colId="0">
          <customFilters and="1">
            <customFilter operator="greaterThanOrEqual" val="40179"/>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940F0D-F689-40D0-B60E-3770F9345D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8:K36" firstHeaderRow="1" firstDataRow="1" firstDataCol="1"/>
  <pivotFields count="16">
    <pivotField showAll="0"/>
    <pivotField numFmtId="164" showAll="0"/>
    <pivotField showAll="0"/>
    <pivotField axis="axisRow" showAll="0">
      <items count="8">
        <item x="5"/>
        <item x="6"/>
        <item x="3"/>
        <item x="2"/>
        <item x="1"/>
        <item x="0"/>
        <item x="4"/>
        <item t="default"/>
      </items>
    </pivotField>
    <pivotField showAll="0"/>
    <pivotField showAll="0"/>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Production (Tonn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2C549-BECF-4AEE-AAA3-249970A229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8:O29" firstHeaderRow="1" firstDataRow="1" firstDataCol="0"/>
  <pivotFields count="16">
    <pivotField showAll="0"/>
    <pivotField numFmtId="164" showAll="0"/>
    <pivotField showAll="0"/>
    <pivotField showAll="0"/>
    <pivotField showAll="0"/>
    <pivotField showAll="0"/>
    <pivotField showAll="0"/>
    <pivotField showAll="0"/>
    <pivotField dataField="1" showAll="0">
      <items count="499">
        <item x="303"/>
        <item x="288"/>
        <item x="434"/>
        <item x="459"/>
        <item x="21"/>
        <item x="307"/>
        <item x="1"/>
        <item x="312"/>
        <item x="427"/>
        <item x="457"/>
        <item x="305"/>
        <item x="125"/>
        <item x="336"/>
        <item x="354"/>
        <item x="372"/>
        <item x="437"/>
        <item x="323"/>
        <item x="51"/>
        <item x="324"/>
        <item x="238"/>
        <item x="384"/>
        <item x="411"/>
        <item x="184"/>
        <item x="89"/>
        <item x="28"/>
        <item x="346"/>
        <item x="298"/>
        <item x="210"/>
        <item x="398"/>
        <item x="293"/>
        <item x="146"/>
        <item x="86"/>
        <item x="443"/>
        <item x="147"/>
        <item x="385"/>
        <item x="441"/>
        <item x="145"/>
        <item x="167"/>
        <item x="463"/>
        <item x="188"/>
        <item x="106"/>
        <item x="486"/>
        <item x="221"/>
        <item x="392"/>
        <item x="232"/>
        <item x="16"/>
        <item x="480"/>
        <item x="74"/>
        <item x="14"/>
        <item x="43"/>
        <item x="351"/>
        <item x="168"/>
        <item x="363"/>
        <item x="171"/>
        <item x="273"/>
        <item x="223"/>
        <item x="2"/>
        <item x="40"/>
        <item x="357"/>
        <item x="481"/>
        <item x="246"/>
        <item x="41"/>
        <item x="291"/>
        <item x="166"/>
        <item x="113"/>
        <item x="97"/>
        <item x="472"/>
        <item x="263"/>
        <item x="53"/>
        <item x="389"/>
        <item x="380"/>
        <item x="0"/>
        <item x="54"/>
        <item x="222"/>
        <item x="433"/>
        <item x="464"/>
        <item x="487"/>
        <item x="407"/>
        <item x="12"/>
        <item x="265"/>
        <item x="352"/>
        <item x="107"/>
        <item x="26"/>
        <item x="198"/>
        <item x="448"/>
        <item x="27"/>
        <item x="339"/>
        <item x="249"/>
        <item x="341"/>
        <item x="242"/>
        <item x="256"/>
        <item x="92"/>
        <item x="105"/>
        <item x="485"/>
        <item x="66"/>
        <item x="367"/>
        <item x="235"/>
        <item x="445"/>
        <item x="467"/>
        <item x="197"/>
        <item x="403"/>
        <item x="279"/>
        <item x="436"/>
        <item x="250"/>
        <item x="442"/>
        <item x="431"/>
        <item x="160"/>
        <item x="450"/>
        <item x="309"/>
        <item x="62"/>
        <item x="37"/>
        <item x="61"/>
        <item x="370"/>
        <item x="452"/>
        <item x="34"/>
        <item x="276"/>
        <item x="23"/>
        <item x="390"/>
        <item x="234"/>
        <item x="297"/>
        <item x="88"/>
        <item x="492"/>
        <item x="347"/>
        <item x="408"/>
        <item x="373"/>
        <item x="161"/>
        <item x="383"/>
        <item x="377"/>
        <item x="93"/>
        <item x="70"/>
        <item x="151"/>
        <item x="289"/>
        <item x="216"/>
        <item x="156"/>
        <item x="343"/>
        <item x="91"/>
        <item x="247"/>
        <item x="475"/>
        <item x="131"/>
        <item x="476"/>
        <item x="191"/>
        <item x="274"/>
        <item x="469"/>
        <item x="65"/>
        <item x="451"/>
        <item x="204"/>
        <item x="479"/>
        <item x="134"/>
        <item x="381"/>
        <item x="329"/>
        <item x="483"/>
        <item x="335"/>
        <item x="45"/>
        <item x="215"/>
        <item x="473"/>
        <item x="282"/>
        <item x="178"/>
        <item x="219"/>
        <item x="95"/>
        <item x="181"/>
        <item x="358"/>
        <item x="52"/>
        <item x="122"/>
        <item x="412"/>
        <item x="172"/>
        <item x="405"/>
        <item x="342"/>
        <item x="155"/>
        <item x="438"/>
        <item x="371"/>
        <item x="176"/>
        <item x="292"/>
        <item x="359"/>
        <item x="173"/>
        <item x="20"/>
        <item x="79"/>
        <item x="272"/>
        <item x="410"/>
        <item x="25"/>
        <item x="104"/>
        <item x="337"/>
        <item x="114"/>
        <item x="174"/>
        <item x="395"/>
        <item x="294"/>
        <item x="430"/>
        <item x="369"/>
        <item x="186"/>
        <item x="39"/>
        <item x="227"/>
        <item x="424"/>
        <item x="416"/>
        <item x="425"/>
        <item x="55"/>
        <item x="73"/>
        <item x="199"/>
        <item x="252"/>
        <item x="267"/>
        <item x="290"/>
        <item x="123"/>
        <item x="84"/>
        <item x="99"/>
        <item x="406"/>
        <item x="201"/>
        <item x="236"/>
        <item x="313"/>
        <item x="257"/>
        <item x="378"/>
        <item x="316"/>
        <item x="296"/>
        <item x="497"/>
        <item x="417"/>
        <item x="76"/>
        <item x="85"/>
        <item x="243"/>
        <item x="19"/>
        <item x="203"/>
        <item x="177"/>
        <item x="157"/>
        <item x="386"/>
        <item x="33"/>
        <item x="100"/>
        <item x="375"/>
        <item x="143"/>
        <item x="365"/>
        <item x="322"/>
        <item x="379"/>
        <item x="110"/>
        <item x="10"/>
        <item x="355"/>
        <item x="321"/>
        <item x="90"/>
        <item x="230"/>
        <item x="348"/>
        <item x="75"/>
        <item x="58"/>
        <item x="140"/>
        <item x="165"/>
        <item x="345"/>
        <item x="318"/>
        <item x="334"/>
        <item x="195"/>
        <item x="137"/>
        <item x="217"/>
        <item x="152"/>
        <item x="120"/>
        <item x="46"/>
        <item x="109"/>
        <item x="32"/>
        <item x="42"/>
        <item x="325"/>
        <item x="162"/>
        <item x="421"/>
        <item x="456"/>
        <item x="207"/>
        <item x="275"/>
        <item x="468"/>
        <item x="231"/>
        <item x="141"/>
        <item x="440"/>
        <item x="268"/>
        <item x="333"/>
        <item x="251"/>
        <item x="470"/>
        <item x="306"/>
        <item x="382"/>
        <item x="254"/>
        <item x="259"/>
        <item x="326"/>
        <item x="126"/>
        <item x="158"/>
        <item x="5"/>
        <item x="60"/>
        <item x="284"/>
        <item x="255"/>
        <item x="285"/>
        <item x="82"/>
        <item x="214"/>
        <item x="128"/>
        <item x="78"/>
        <item x="471"/>
        <item x="35"/>
        <item x="87"/>
        <item x="47"/>
        <item x="388"/>
        <item x="102"/>
        <item x="206"/>
        <item x="127"/>
        <item x="139"/>
        <item x="180"/>
        <item x="484"/>
        <item x="36"/>
        <item x="50"/>
        <item x="490"/>
        <item x="169"/>
        <item x="153"/>
        <item x="4"/>
        <item x="362"/>
        <item x="148"/>
        <item x="209"/>
        <item x="196"/>
        <item x="319"/>
        <item x="258"/>
        <item x="202"/>
        <item x="72"/>
        <item x="185"/>
        <item x="311"/>
        <item x="192"/>
        <item x="420"/>
        <item x="262"/>
        <item x="30"/>
        <item x="349"/>
        <item x="340"/>
        <item x="400"/>
        <item x="301"/>
        <item x="280"/>
        <item x="13"/>
        <item x="338"/>
        <item x="344"/>
        <item x="439"/>
        <item x="64"/>
        <item x="364"/>
        <item x="225"/>
        <item x="278"/>
        <item x="193"/>
        <item x="295"/>
        <item x="261"/>
        <item x="129"/>
        <item x="271"/>
        <item x="286"/>
        <item x="493"/>
        <item x="240"/>
        <item x="224"/>
        <item x="244"/>
        <item x="314"/>
        <item x="300"/>
        <item x="108"/>
        <item x="103"/>
        <item x="154"/>
        <item x="397"/>
        <item x="241"/>
        <item x="130"/>
        <item x="453"/>
        <item x="374"/>
        <item x="233"/>
        <item x="94"/>
        <item x="6"/>
        <item x="170"/>
        <item x="77"/>
        <item x="401"/>
        <item x="466"/>
        <item x="465"/>
        <item x="59"/>
        <item x="138"/>
        <item x="327"/>
        <item x="396"/>
        <item x="331"/>
        <item x="132"/>
        <item x="447"/>
        <item x="413"/>
        <item x="229"/>
        <item x="218"/>
        <item x="474"/>
        <item x="391"/>
        <item x="159"/>
        <item x="56"/>
        <item x="8"/>
        <item x="414"/>
        <item x="491"/>
        <item x="368"/>
        <item x="264"/>
        <item x="190"/>
        <item x="31"/>
        <item x="299"/>
        <item x="149"/>
        <item x="482"/>
        <item x="17"/>
        <item x="117"/>
        <item x="350"/>
        <item x="96"/>
        <item x="478"/>
        <item x="302"/>
        <item x="287"/>
        <item x="328"/>
        <item x="135"/>
        <item x="18"/>
        <item x="454"/>
        <item x="101"/>
        <item x="496"/>
        <item x="133"/>
        <item x="308"/>
        <item x="29"/>
        <item x="394"/>
        <item x="245"/>
        <item x="387"/>
        <item x="183"/>
        <item x="429"/>
        <item x="116"/>
        <item x="260"/>
        <item x="194"/>
        <item x="44"/>
        <item x="164"/>
        <item x="68"/>
        <item x="124"/>
        <item x="315"/>
        <item x="277"/>
        <item x="409"/>
        <item x="211"/>
        <item x="136"/>
        <item x="67"/>
        <item x="200"/>
        <item x="121"/>
        <item x="404"/>
        <item x="269"/>
        <item x="115"/>
        <item x="266"/>
        <item x="435"/>
        <item x="330"/>
        <item x="361"/>
        <item x="49"/>
        <item x="423"/>
        <item x="494"/>
        <item x="477"/>
        <item x="189"/>
        <item x="57"/>
        <item x="220"/>
        <item x="304"/>
        <item x="281"/>
        <item x="63"/>
        <item x="419"/>
        <item x="144"/>
        <item x="426"/>
        <item x="248"/>
        <item x="317"/>
        <item x="332"/>
        <item x="119"/>
        <item x="69"/>
        <item x="7"/>
        <item x="98"/>
        <item x="205"/>
        <item x="213"/>
        <item x="228"/>
        <item x="3"/>
        <item x="399"/>
        <item x="460"/>
        <item x="283"/>
        <item x="226"/>
        <item x="462"/>
        <item x="428"/>
        <item x="415"/>
        <item x="150"/>
        <item x="366"/>
        <item x="212"/>
        <item x="208"/>
        <item x="455"/>
        <item x="175"/>
        <item x="9"/>
        <item x="237"/>
        <item x="179"/>
        <item x="432"/>
        <item x="446"/>
        <item x="489"/>
        <item x="310"/>
        <item x="353"/>
        <item x="15"/>
        <item x="458"/>
        <item x="360"/>
        <item x="253"/>
        <item x="488"/>
        <item x="449"/>
        <item x="182"/>
        <item x="356"/>
        <item x="422"/>
        <item x="24"/>
        <item x="111"/>
        <item x="461"/>
        <item x="48"/>
        <item x="38"/>
        <item x="83"/>
        <item x="402"/>
        <item x="71"/>
        <item x="270"/>
        <item x="418"/>
        <item x="444"/>
        <item x="118"/>
        <item x="11"/>
        <item x="163"/>
        <item x="142"/>
        <item x="80"/>
        <item x="320"/>
        <item x="495"/>
        <item x="22"/>
        <item x="376"/>
        <item x="393"/>
        <item x="112"/>
        <item x="239"/>
        <item x="81"/>
        <item x="187"/>
        <item t="default"/>
      </items>
    </pivotField>
    <pivotField showAll="0"/>
    <pivotField showAll="0"/>
    <pivotField showAll="0"/>
    <pivotField showAll="0"/>
    <pivotField showAll="0"/>
    <pivotField showAll="0"/>
    <pivotField showAll="0"/>
  </pivotFields>
  <rowItems count="1">
    <i/>
  </rowItems>
  <colItems count="1">
    <i/>
  </colItems>
  <dataFields count="1">
    <dataField name="Sum of Production (Tonn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916D40-E549-44E3-A7C6-DB14CC80B6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2:H28" firstHeaderRow="1" firstDataRow="1" firstDataCol="1"/>
  <pivotFields count="16">
    <pivotField showAll="0"/>
    <pivotField numFmtId="164" showAll="0"/>
    <pivotField showAll="0"/>
    <pivotField showAll="0">
      <items count="8">
        <item x="5"/>
        <item x="6"/>
        <item x="3"/>
        <item x="2"/>
        <item x="1"/>
        <item x="0"/>
        <item x="4"/>
        <item t="default"/>
      </items>
    </pivotField>
    <pivotField showAll="0"/>
    <pivotField showAll="0"/>
    <pivotField showAll="0">
      <items count="7">
        <item x="2"/>
        <item x="0"/>
        <item x="1"/>
        <item x="4"/>
        <item x="3"/>
        <item x="5"/>
        <item t="default"/>
      </items>
    </pivotField>
    <pivotField showAll="0"/>
    <pivotField showAll="0"/>
    <pivotField dataField="1" showAll="0"/>
    <pivotField showAll="0">
      <items count="5">
        <item x="3"/>
        <item x="0"/>
        <item x="1"/>
        <item x="2"/>
        <item t="default"/>
      </items>
    </pivotField>
    <pivotField axis="axisRow"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11"/>
  </rowFields>
  <rowItems count="6">
    <i>
      <x/>
    </i>
    <i>
      <x v="1"/>
    </i>
    <i>
      <x v="2"/>
    </i>
    <i>
      <x v="3"/>
    </i>
    <i>
      <x v="4"/>
    </i>
    <i t="grand">
      <x/>
    </i>
  </rowItems>
  <colItems count="1">
    <i/>
  </colItems>
  <dataFields count="1">
    <dataField name="Average of Yield (Kg/Ha)" fld="9" subtotal="average" baseField="11"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CB217B-36C1-4828-B27D-CBA0E32472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20" firstHeaderRow="1" firstDataRow="1" firstDataCol="1"/>
  <pivotFields count="16">
    <pivotField showAll="0"/>
    <pivotField numFmtId="164" showAll="0"/>
    <pivotField showAll="0"/>
    <pivotField showAll="0">
      <items count="8">
        <item x="5"/>
        <item x="6"/>
        <item x="3"/>
        <item x="2"/>
        <item x="1"/>
        <item x="0"/>
        <item x="4"/>
        <item t="default"/>
      </items>
    </pivotField>
    <pivotField showAll="0"/>
    <pivotField showAll="0"/>
    <pivotField showAll="0">
      <items count="7">
        <item x="2"/>
        <item x="0"/>
        <item x="1"/>
        <item x="4"/>
        <item x="3"/>
        <item x="5"/>
        <item t="default"/>
      </items>
    </pivotField>
    <pivotField showAll="0"/>
    <pivotField showAll="0"/>
    <pivotField dataField="1" showAll="0">
      <items count="501">
        <item x="234"/>
        <item x="167"/>
        <item x="288"/>
        <item x="41"/>
        <item x="348"/>
        <item x="279"/>
        <item x="222"/>
        <item x="353"/>
        <item x="409"/>
        <item x="477"/>
        <item x="408"/>
        <item x="88"/>
        <item x="134"/>
        <item x="66"/>
        <item x="449"/>
        <item x="442"/>
        <item x="399"/>
        <item x="384"/>
        <item x="37"/>
        <item x="176"/>
        <item x="156"/>
        <item x="324"/>
        <item x="313"/>
        <item x="390"/>
        <item x="89"/>
        <item x="431"/>
        <item x="91"/>
        <item x="391"/>
        <item x="171"/>
        <item x="344"/>
        <item x="236"/>
        <item x="14"/>
        <item x="474"/>
        <item x="352"/>
        <item x="263"/>
        <item x="21"/>
        <item x="404"/>
        <item x="122"/>
        <item x="203"/>
        <item x="446"/>
        <item x="161"/>
        <item x="257"/>
        <item x="487"/>
        <item x="79"/>
        <item x="355"/>
        <item x="304"/>
        <item x="386"/>
        <item x="297"/>
        <item x="186"/>
        <item x="146"/>
        <item x="58"/>
        <item x="54"/>
        <item x="295"/>
        <item x="46"/>
        <item x="165"/>
        <item x="99"/>
        <item x="293"/>
        <item x="53"/>
        <item x="242"/>
        <item x="55"/>
        <item x="374"/>
        <item x="232"/>
        <item x="219"/>
        <item x="141"/>
        <item x="335"/>
        <item x="347"/>
        <item x="168"/>
        <item x="113"/>
        <item x="199"/>
        <item x="0"/>
        <item x="327"/>
        <item x="370"/>
        <item x="247"/>
        <item x="444"/>
        <item x="340"/>
        <item x="381"/>
        <item x="441"/>
        <item x="114"/>
        <item x="95"/>
        <item x="19"/>
        <item x="407"/>
        <item x="23"/>
        <item x="319"/>
        <item x="425"/>
        <item x="378"/>
        <item x="276"/>
        <item x="306"/>
        <item x="439"/>
        <item x="201"/>
        <item x="181"/>
        <item x="484"/>
        <item x="488"/>
        <item x="158"/>
        <item x="336"/>
        <item x="342"/>
        <item x="418"/>
        <item x="411"/>
        <item x="65"/>
        <item x="307"/>
        <item x="481"/>
        <item x="32"/>
        <item x="1"/>
        <item x="125"/>
        <item x="360"/>
        <item x="435"/>
        <item x="155"/>
        <item x="337"/>
        <item x="34"/>
        <item x="86"/>
        <item x="334"/>
        <item x="323"/>
        <item x="40"/>
        <item x="243"/>
        <item x="255"/>
        <item x="259"/>
        <item x="87"/>
        <item x="214"/>
        <item x="39"/>
        <item x="178"/>
        <item x="75"/>
        <item x="250"/>
        <item x="52"/>
        <item x="421"/>
        <item x="235"/>
        <item x="27"/>
        <item x="93"/>
        <item x="356"/>
        <item x="280"/>
        <item x="349"/>
        <item x="139"/>
        <item x="470"/>
        <item x="185"/>
        <item x="173"/>
        <item x="25"/>
        <item x="131"/>
        <item x="215"/>
        <item x="326"/>
        <item x="132"/>
        <item x="289"/>
        <item x="180"/>
        <item x="174"/>
        <item x="204"/>
        <item x="47"/>
        <item x="328"/>
        <item x="499"/>
        <item x="278"/>
        <item x="128"/>
        <item x="143"/>
        <item x="426"/>
        <item x="296"/>
        <item x="197"/>
        <item x="6"/>
        <item x="192"/>
        <item x="371"/>
        <item x="256"/>
        <item x="249"/>
        <item x="302"/>
        <item x="380"/>
        <item x="406"/>
        <item x="485"/>
        <item x="241"/>
        <item x="414"/>
        <item x="159"/>
        <item x="35"/>
        <item x="254"/>
        <item x="455"/>
        <item x="76"/>
        <item x="169"/>
        <item x="225"/>
        <item x="78"/>
        <item x="479"/>
        <item x="210"/>
        <item x="364"/>
        <item x="4"/>
        <item x="376"/>
        <item x="223"/>
        <item x="264"/>
        <item x="486"/>
        <item x="84"/>
        <item x="365"/>
        <item x="123"/>
        <item x="164"/>
        <item x="493"/>
        <item x="152"/>
        <item x="50"/>
        <item x="2"/>
        <item x="366"/>
        <item x="402"/>
        <item x="70"/>
        <item x="206"/>
        <item x="42"/>
        <item x="382"/>
        <item x="373"/>
        <item x="72"/>
        <item x="468"/>
        <item x="359"/>
        <item x="30"/>
        <item x="64"/>
        <item x="56"/>
        <item x="271"/>
        <item x="33"/>
        <item x="129"/>
        <item x="467"/>
        <item x="285"/>
        <item x="346"/>
        <item x="195"/>
        <item x="8"/>
        <item x="422"/>
        <item x="209"/>
        <item x="229"/>
        <item x="170"/>
        <item x="220"/>
        <item x="317"/>
        <item x="43"/>
        <item x="63"/>
        <item x="332"/>
        <item x="31"/>
        <item x="109"/>
        <item x="224"/>
        <item x="273"/>
        <item x="106"/>
        <item x="85"/>
        <item x="303"/>
        <item x="389"/>
        <item x="217"/>
        <item x="498"/>
        <item x="314"/>
        <item x="454"/>
        <item x="140"/>
        <item x="218"/>
        <item x="160"/>
        <item x="29"/>
        <item x="437"/>
        <item x="434"/>
        <item x="448"/>
        <item x="59"/>
        <item x="44"/>
        <item x="464"/>
        <item x="45"/>
        <item x="12"/>
        <item x="266"/>
        <item x="451"/>
        <item x="350"/>
        <item x="211"/>
        <item x="483"/>
        <item x="252"/>
        <item x="262"/>
        <item x="272"/>
        <item x="233"/>
        <item x="127"/>
        <item x="460"/>
        <item x="67"/>
        <item x="121"/>
        <item x="108"/>
        <item x="116"/>
        <item x="240"/>
        <item x="166"/>
        <item x="193"/>
        <item x="117"/>
        <item x="398"/>
        <item x="202"/>
        <item x="103"/>
        <item x="248"/>
        <item x="489"/>
        <item x="282"/>
        <item x="49"/>
        <item x="238"/>
        <item x="154"/>
        <item x="427"/>
        <item x="338"/>
        <item x="60"/>
        <item x="457"/>
        <item x="316"/>
        <item x="260"/>
        <item x="133"/>
        <item x="244"/>
        <item x="480"/>
        <item x="96"/>
        <item x="175"/>
        <item x="110"/>
        <item x="393"/>
        <item x="387"/>
        <item x="388"/>
        <item x="194"/>
        <item x="320"/>
        <item x="145"/>
        <item x="397"/>
        <item x="198"/>
        <item x="417"/>
        <item x="329"/>
        <item x="312"/>
        <item x="430"/>
        <item x="463"/>
        <item x="77"/>
        <item x="438"/>
        <item x="492"/>
        <item x="69"/>
        <item x="330"/>
        <item x="138"/>
        <item x="191"/>
        <item x="230"/>
        <item x="94"/>
        <item x="208"/>
        <item x="341"/>
        <item x="375"/>
        <item x="149"/>
        <item x="305"/>
        <item x="310"/>
        <item x="473"/>
        <item x="309"/>
        <item x="420"/>
        <item x="190"/>
        <item x="433"/>
        <item x="345"/>
        <item x="436"/>
        <item x="318"/>
        <item x="221"/>
        <item x="36"/>
        <item x="286"/>
        <item x="287"/>
        <item x="358"/>
        <item x="227"/>
        <item x="82"/>
        <item x="10"/>
        <item x="102"/>
        <item x="90"/>
        <item x="245"/>
        <item x="458"/>
        <item x="379"/>
        <item x="369"/>
        <item x="322"/>
        <item x="16"/>
        <item x="281"/>
        <item x="410"/>
        <item x="301"/>
        <item x="183"/>
        <item x="265"/>
        <item x="182"/>
        <item x="452"/>
        <item x="325"/>
        <item x="361"/>
        <item x="277"/>
        <item x="412"/>
        <item x="73"/>
        <item x="299"/>
        <item x="292"/>
        <item x="363"/>
        <item x="61"/>
        <item x="471"/>
        <item x="226"/>
        <item x="151"/>
        <item x="331"/>
        <item x="459"/>
        <item x="423"/>
        <item x="111"/>
        <item x="392"/>
        <item x="92"/>
        <item x="424"/>
        <item x="147"/>
        <item x="494"/>
        <item x="179"/>
        <item x="162"/>
        <item x="400"/>
        <item x="283"/>
        <item x="472"/>
        <item x="298"/>
        <item x="268"/>
        <item x="290"/>
        <item x="432"/>
        <item x="258"/>
        <item x="405"/>
        <item x="308"/>
        <item x="28"/>
        <item x="251"/>
        <item x="237"/>
        <item x="97"/>
        <item x="231"/>
        <item x="24"/>
        <item x="300"/>
        <item x="368"/>
        <item x="395"/>
        <item x="115"/>
        <item x="403"/>
        <item x="419"/>
        <item x="491"/>
        <item x="495"/>
        <item x="228"/>
        <item x="416"/>
        <item x="212"/>
        <item x="443"/>
        <item x="136"/>
        <item x="9"/>
        <item x="476"/>
        <item x="135"/>
        <item x="150"/>
        <item x="104"/>
        <item x="401"/>
        <item x="269"/>
        <item x="465"/>
        <item x="367"/>
        <item x="351"/>
        <item x="482"/>
        <item x="315"/>
        <item x="57"/>
        <item x="119"/>
        <item x="385"/>
        <item x="74"/>
        <item x="450"/>
        <item x="469"/>
        <item x="445"/>
        <item x="466"/>
        <item x="447"/>
        <item x="184"/>
        <item x="124"/>
        <item x="453"/>
        <item x="456"/>
        <item x="48"/>
        <item x="275"/>
        <item x="148"/>
        <item x="440"/>
        <item x="343"/>
        <item x="101"/>
        <item x="120"/>
        <item x="429"/>
        <item x="333"/>
        <item x="144"/>
        <item x="189"/>
        <item x="284"/>
        <item x="274"/>
        <item x="372"/>
        <item x="3"/>
        <item x="126"/>
        <item x="207"/>
        <item x="142"/>
        <item x="107"/>
        <item x="18"/>
        <item x="216"/>
        <item x="339"/>
        <item x="71"/>
        <item x="17"/>
        <item x="11"/>
        <item x="68"/>
        <item x="270"/>
        <item x="428"/>
        <item x="15"/>
        <item x="26"/>
        <item x="98"/>
        <item x="163"/>
        <item x="38"/>
        <item x="413"/>
        <item x="7"/>
        <item x="177"/>
        <item x="415"/>
        <item x="83"/>
        <item x="294"/>
        <item x="112"/>
        <item x="497"/>
        <item x="253"/>
        <item x="200"/>
        <item x="311"/>
        <item x="246"/>
        <item x="5"/>
        <item x="188"/>
        <item x="118"/>
        <item x="22"/>
        <item x="478"/>
        <item x="153"/>
        <item x="80"/>
        <item x="321"/>
        <item x="100"/>
        <item x="377"/>
        <item x="137"/>
        <item x="51"/>
        <item x="196"/>
        <item x="130"/>
        <item x="105"/>
        <item x="205"/>
        <item x="462"/>
        <item x="394"/>
        <item x="20"/>
        <item x="461"/>
        <item x="62"/>
        <item x="157"/>
        <item x="357"/>
        <item x="81"/>
        <item x="490"/>
        <item x="239"/>
        <item x="187"/>
        <item x="261"/>
        <item x="354"/>
        <item x="267"/>
        <item x="362"/>
        <item x="213"/>
        <item x="172"/>
        <item x="383"/>
        <item x="291"/>
        <item x="13"/>
        <item x="496"/>
        <item x="475"/>
        <item x="396"/>
        <item t="default"/>
      </items>
    </pivotField>
    <pivotField showAll="0">
      <items count="5">
        <item x="3"/>
        <item x="0"/>
        <item x="1"/>
        <item x="2"/>
        <item t="default"/>
      </items>
    </pivotField>
    <pivotField showAll="0">
      <items count="6">
        <item x="1"/>
        <item x="2"/>
        <item x="4"/>
        <item x="0"/>
        <item x="3"/>
        <item t="default"/>
      </items>
    </pivotField>
    <pivotField showAll="0"/>
    <pivotField showAll="0" avgSubtotal="1">
      <items count="500">
        <item x="238"/>
        <item x="18"/>
        <item x="294"/>
        <item x="144"/>
        <item x="376"/>
        <item x="470"/>
        <item x="327"/>
        <item x="55"/>
        <item x="160"/>
        <item x="177"/>
        <item x="183"/>
        <item x="410"/>
        <item x="291"/>
        <item x="102"/>
        <item x="290"/>
        <item x="471"/>
        <item x="251"/>
        <item x="391"/>
        <item x="421"/>
        <item x="341"/>
        <item x="496"/>
        <item x="167"/>
        <item x="3"/>
        <item x="302"/>
        <item x="490"/>
        <item x="315"/>
        <item x="407"/>
        <item x="286"/>
        <item x="19"/>
        <item x="157"/>
        <item x="409"/>
        <item x="480"/>
        <item x="228"/>
        <item x="123"/>
        <item x="435"/>
        <item x="20"/>
        <item x="450"/>
        <item x="145"/>
        <item x="241"/>
        <item x="245"/>
        <item x="235"/>
        <item x="429"/>
        <item x="221"/>
        <item x="239"/>
        <item x="85"/>
        <item x="256"/>
        <item x="141"/>
        <item x="475"/>
        <item x="483"/>
        <item x="95"/>
        <item x="344"/>
        <item x="305"/>
        <item x="30"/>
        <item x="83"/>
        <item x="439"/>
        <item x="232"/>
        <item x="303"/>
        <item x="363"/>
        <item x="37"/>
        <item x="424"/>
        <item x="275"/>
        <item x="267"/>
        <item x="404"/>
        <item x="25"/>
        <item x="132"/>
        <item x="418"/>
        <item x="414"/>
        <item x="225"/>
        <item x="161"/>
        <item x="129"/>
        <item x="448"/>
        <item x="253"/>
        <item x="269"/>
        <item x="147"/>
        <item x="165"/>
        <item x="224"/>
        <item x="254"/>
        <item x="489"/>
        <item x="313"/>
        <item x="406"/>
        <item x="194"/>
        <item x="425"/>
        <item x="365"/>
        <item x="426"/>
        <item x="131"/>
        <item x="388"/>
        <item x="457"/>
        <item x="33"/>
        <item x="436"/>
        <item x="210"/>
        <item x="333"/>
        <item x="285"/>
        <item x="493"/>
        <item x="21"/>
        <item x="323"/>
        <item x="360"/>
        <item x="188"/>
        <item x="434"/>
        <item x="242"/>
        <item x="481"/>
        <item x="408"/>
        <item x="45"/>
        <item x="378"/>
        <item x="392"/>
        <item x="319"/>
        <item x="35"/>
        <item x="272"/>
        <item x="358"/>
        <item x="417"/>
        <item x="394"/>
        <item x="82"/>
        <item x="412"/>
        <item x="208"/>
        <item x="115"/>
        <item x="11"/>
        <item x="385"/>
        <item x="170"/>
        <item x="137"/>
        <item x="175"/>
        <item x="43"/>
        <item x="364"/>
        <item x="58"/>
        <item x="474"/>
        <item x="399"/>
        <item x="257"/>
        <item x="405"/>
        <item x="212"/>
        <item x="460"/>
        <item x="96"/>
        <item x="67"/>
        <item x="473"/>
        <item x="495"/>
        <item x="465"/>
        <item x="456"/>
        <item x="369"/>
        <item x="39"/>
        <item x="120"/>
        <item x="100"/>
        <item x="403"/>
        <item x="197"/>
        <item x="479"/>
        <item x="148"/>
        <item x="220"/>
        <item x="440"/>
        <item x="416"/>
        <item x="125"/>
        <item x="66"/>
        <item x="445"/>
        <item x="64"/>
        <item x="135"/>
        <item x="402"/>
        <item x="216"/>
        <item x="423"/>
        <item x="50"/>
        <item x="190"/>
        <item x="271"/>
        <item x="126"/>
        <item x="86"/>
        <item x="80"/>
        <item x="146"/>
        <item x="203"/>
        <item x="204"/>
        <item x="320"/>
        <item x="44"/>
        <item x="193"/>
        <item x="162"/>
        <item x="54"/>
        <item x="195"/>
        <item x="48"/>
        <item x="331"/>
        <item x="179"/>
        <item x="348"/>
        <item x="278"/>
        <item x="338"/>
        <item x="180"/>
        <item x="196"/>
        <item x="57"/>
        <item x="178"/>
        <item x="413"/>
        <item x="36"/>
        <item x="309"/>
        <item x="41"/>
        <item x="202"/>
        <item x="169"/>
        <item x="143"/>
        <item x="420"/>
        <item x="81"/>
        <item x="246"/>
        <item x="158"/>
        <item x="263"/>
        <item x="297"/>
        <item x="477"/>
        <item x="51"/>
        <item x="94"/>
        <item x="28"/>
        <item x="307"/>
        <item x="79"/>
        <item x="140"/>
        <item x="139"/>
        <item x="281"/>
        <item x="381"/>
        <item x="112"/>
        <item x="76"/>
        <item x="173"/>
        <item x="262"/>
        <item x="346"/>
        <item x="74"/>
        <item x="9"/>
        <item x="230"/>
        <item x="387"/>
        <item x="264"/>
        <item x="466"/>
        <item x="34"/>
        <item x="128"/>
        <item x="69"/>
        <item x="389"/>
        <item x="459"/>
        <item x="295"/>
        <item x="63"/>
        <item x="234"/>
        <item x="156"/>
        <item x="15"/>
        <item x="174"/>
        <item x="93"/>
        <item x="186"/>
        <item x="287"/>
        <item x="449"/>
        <item x="90"/>
        <item x="308"/>
        <item x="336"/>
        <item x="458"/>
        <item x="299"/>
        <item x="258"/>
        <item x="427"/>
        <item x="65"/>
        <item x="247"/>
        <item x="61"/>
        <item x="118"/>
        <item x="335"/>
        <item x="107"/>
        <item x="89"/>
        <item x="166"/>
        <item x="277"/>
        <item x="280"/>
        <item x="13"/>
        <item x="442"/>
        <item x="122"/>
        <item x="97"/>
        <item x="52"/>
        <item x="345"/>
        <item x="152"/>
        <item x="380"/>
        <item x="229"/>
        <item x="462"/>
        <item x="40"/>
        <item x="159"/>
        <item x="334"/>
        <item x="310"/>
        <item x="38"/>
        <item x="198"/>
        <item x="397"/>
        <item x="268"/>
        <item x="428"/>
        <item x="356"/>
        <item x="355"/>
        <item x="27"/>
        <item x="368"/>
        <item x="314"/>
        <item x="304"/>
        <item x="342"/>
        <item x="105"/>
        <item x="415"/>
        <item x="47"/>
        <item x="240"/>
        <item x="318"/>
        <item x="324"/>
        <item x="121"/>
        <item x="46"/>
        <item x="31"/>
        <item x="454"/>
        <item x="317"/>
        <item x="469"/>
        <item x="492"/>
        <item x="91"/>
        <item x="1"/>
        <item x="265"/>
        <item x="106"/>
        <item x="237"/>
        <item x="279"/>
        <item x="8"/>
        <item x="87"/>
        <item x="452"/>
        <item x="446"/>
        <item x="252"/>
        <item x="176"/>
        <item x="494"/>
        <item x="2"/>
        <item x="24"/>
        <item x="371"/>
        <item x="226"/>
        <item x="293"/>
        <item x="214"/>
        <item x="207"/>
        <item x="151"/>
        <item x="455"/>
        <item x="349"/>
        <item x="98"/>
        <item x="373"/>
        <item x="325"/>
        <item x="191"/>
        <item x="205"/>
        <item x="433"/>
        <item x="478"/>
        <item x="284"/>
        <item x="375"/>
        <item x="75"/>
        <item x="384"/>
        <item x="163"/>
        <item x="476"/>
        <item x="453"/>
        <item x="201"/>
        <item x="311"/>
        <item x="213"/>
        <item x="270"/>
        <item x="464"/>
        <item x="199"/>
        <item x="292"/>
        <item x="372"/>
        <item x="374"/>
        <item x="32"/>
        <item x="300"/>
        <item x="4"/>
        <item x="330"/>
        <item x="282"/>
        <item x="171"/>
        <item x="62"/>
        <item x="491"/>
        <item x="78"/>
        <item x="99"/>
        <item x="130"/>
        <item x="150"/>
        <item x="390"/>
        <item x="124"/>
        <item x="56"/>
        <item x="289"/>
        <item x="432"/>
        <item x="276"/>
        <item x="209"/>
        <item x="431"/>
        <item x="155"/>
        <item x="395"/>
        <item x="215"/>
        <item x="153"/>
        <item x="59"/>
        <item x="231"/>
        <item x="111"/>
        <item x="243"/>
        <item x="411"/>
        <item x="487"/>
        <item x="340"/>
        <item x="181"/>
        <item x="138"/>
        <item x="261"/>
        <item x="110"/>
        <item x="321"/>
        <item x="84"/>
        <item x="127"/>
        <item x="16"/>
        <item x="461"/>
        <item x="172"/>
        <item x="441"/>
        <item x="332"/>
        <item x="255"/>
        <item x="366"/>
        <item x="189"/>
        <item x="306"/>
        <item x="53"/>
        <item x="70"/>
        <item x="103"/>
        <item x="73"/>
        <item x="498"/>
        <item x="430"/>
        <item x="217"/>
        <item x="362"/>
        <item x="206"/>
        <item x="497"/>
        <item x="447"/>
        <item x="357"/>
        <item x="296"/>
        <item x="443"/>
        <item x="273"/>
        <item x="10"/>
        <item x="117"/>
        <item x="361"/>
        <item x="377"/>
        <item x="383"/>
        <item x="114"/>
        <item x="223"/>
        <item x="236"/>
        <item x="350"/>
        <item x="354"/>
        <item x="248"/>
        <item x="149"/>
        <item x="353"/>
        <item x="113"/>
        <item x="88"/>
        <item x="68"/>
        <item x="200"/>
        <item x="393"/>
        <item x="218"/>
        <item x="211"/>
        <item x="164"/>
        <item x="244"/>
        <item x="486"/>
        <item x="249"/>
        <item x="108"/>
        <item x="451"/>
        <item x="437"/>
        <item x="116"/>
        <item x="401"/>
        <item x="104"/>
        <item x="343"/>
        <item x="326"/>
        <item x="400"/>
        <item x="49"/>
        <item x="301"/>
        <item x="60"/>
        <item x="77"/>
        <item x="26"/>
        <item x="42"/>
        <item x="182"/>
        <item x="5"/>
        <item x="259"/>
        <item x="133"/>
        <item x="72"/>
        <item x="379"/>
        <item x="266"/>
        <item x="367"/>
        <item x="233"/>
        <item x="17"/>
        <item x="101"/>
        <item x="488"/>
        <item x="142"/>
        <item x="29"/>
        <item x="12"/>
        <item x="274"/>
        <item x="288"/>
        <item x="339"/>
        <item x="438"/>
        <item x="92"/>
        <item x="168"/>
        <item x="0"/>
        <item x="312"/>
        <item x="219"/>
        <item x="382"/>
        <item x="283"/>
        <item x="472"/>
        <item x="187"/>
        <item x="396"/>
        <item x="422"/>
        <item x="14"/>
        <item x="328"/>
        <item x="184"/>
        <item x="347"/>
        <item x="71"/>
        <item x="136"/>
        <item x="298"/>
        <item x="6"/>
        <item x="119"/>
        <item x="337"/>
        <item x="109"/>
        <item x="482"/>
        <item x="485"/>
        <item x="370"/>
        <item x="352"/>
        <item x="359"/>
        <item x="329"/>
        <item x="192"/>
        <item x="250"/>
        <item x="322"/>
        <item x="467"/>
        <item x="154"/>
        <item x="419"/>
        <item x="444"/>
        <item x="185"/>
        <item x="463"/>
        <item x="468"/>
        <item x="316"/>
        <item x="351"/>
        <item x="484"/>
        <item x="227"/>
        <item x="134"/>
        <item x="398"/>
        <item x="260"/>
        <item x="23"/>
        <item x="222"/>
        <item x="386"/>
        <item x="7"/>
        <item x="22"/>
        <item t="avg"/>
      </items>
    </pivotField>
    <pivotField axis="axisRow" showAll="0">
      <items count="6">
        <item x="4"/>
        <item x="0"/>
        <item x="2"/>
        <item x="1"/>
        <item x="3"/>
        <item t="default"/>
      </items>
    </pivotField>
    <pivotField showAll="0"/>
  </pivotFields>
  <rowFields count="1">
    <field x="14"/>
  </rowFields>
  <rowItems count="6">
    <i>
      <x/>
    </i>
    <i>
      <x v="1"/>
    </i>
    <i>
      <x v="2"/>
    </i>
    <i>
      <x v="3"/>
    </i>
    <i>
      <x v="4"/>
    </i>
    <i t="grand">
      <x/>
    </i>
  </rowItems>
  <colItems count="1">
    <i/>
  </colItems>
  <dataFields count="1">
    <dataField name="Average of Yield (Kg/Ha)" fld="9"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70D02-3038-4470-BCC0-B4C40A3CC9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P11" firstHeaderRow="1" firstDataRow="2" firstDataCol="1"/>
  <pivotFields count="16">
    <pivotField showAll="0"/>
    <pivotField numFmtId="164" showAll="0"/>
    <pivotField showAll="0"/>
    <pivotField axis="axisCol"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pivotField axis="axisRow" showAll="0">
      <items count="7">
        <item x="2"/>
        <item x="0"/>
        <item x="1"/>
        <item x="4"/>
        <item x="3"/>
        <item x="5"/>
        <item t="default"/>
      </items>
    </pivotField>
    <pivotField showAll="0"/>
    <pivotField showAll="0"/>
    <pivotField showAll="0"/>
    <pivotField showAll="0">
      <items count="5">
        <item x="3"/>
        <item x="0"/>
        <item x="1"/>
        <item x="2"/>
        <item t="default"/>
      </items>
    </pivotField>
    <pivotField showAll="0"/>
    <pivotField showAll="0"/>
    <pivotField dataField="1" showAll="0"/>
    <pivotField showAll="0"/>
    <pivotField showAll="0"/>
  </pivotFields>
  <rowFields count="1">
    <field x="6"/>
  </rowFields>
  <rowItems count="7">
    <i>
      <x/>
    </i>
    <i>
      <x v="1"/>
    </i>
    <i>
      <x v="2"/>
    </i>
    <i>
      <x v="3"/>
    </i>
    <i>
      <x v="4"/>
    </i>
    <i>
      <x v="5"/>
    </i>
    <i t="grand">
      <x/>
    </i>
  </rowItems>
  <colFields count="1">
    <field x="3"/>
  </colFields>
  <colItems count="8">
    <i>
      <x/>
    </i>
    <i>
      <x v="1"/>
    </i>
    <i>
      <x v="2"/>
    </i>
    <i>
      <x v="3"/>
    </i>
    <i>
      <x v="4"/>
    </i>
    <i>
      <x v="5"/>
    </i>
    <i>
      <x v="6"/>
    </i>
    <i t="grand">
      <x/>
    </i>
  </colItems>
  <dataFields count="1">
    <dataField name="Average of Rainfall (mm)" fld="13" subtotal="average" baseField="6" baseItem="0"/>
  </dataFields>
  <chartFormats count="7">
    <chartFormat chart="2" format="14" series="1">
      <pivotArea type="data" outline="0" fieldPosition="0">
        <references count="2">
          <reference field="4294967294" count="1" selected="0">
            <x v="0"/>
          </reference>
          <reference field="3" count="1" selected="0">
            <x v="0"/>
          </reference>
        </references>
      </pivotArea>
    </chartFormat>
    <chartFormat chart="2" format="15" series="1">
      <pivotArea type="data" outline="0" fieldPosition="0">
        <references count="2">
          <reference field="4294967294" count="1" selected="0">
            <x v="0"/>
          </reference>
          <reference field="3" count="1" selected="0">
            <x v="1"/>
          </reference>
        </references>
      </pivotArea>
    </chartFormat>
    <chartFormat chart="2" format="16" series="1">
      <pivotArea type="data" outline="0" fieldPosition="0">
        <references count="2">
          <reference field="4294967294" count="1" selected="0">
            <x v="0"/>
          </reference>
          <reference field="3" count="1" selected="0">
            <x v="2"/>
          </reference>
        </references>
      </pivotArea>
    </chartFormat>
    <chartFormat chart="2" format="17" series="1">
      <pivotArea type="data" outline="0" fieldPosition="0">
        <references count="2">
          <reference field="4294967294" count="1" selected="0">
            <x v="0"/>
          </reference>
          <reference field="3" count="1" selected="0">
            <x v="3"/>
          </reference>
        </references>
      </pivotArea>
    </chartFormat>
    <chartFormat chart="2" format="18" series="1">
      <pivotArea type="data" outline="0" fieldPosition="0">
        <references count="2">
          <reference field="4294967294" count="1" selected="0">
            <x v="0"/>
          </reference>
          <reference field="3" count="1" selected="0">
            <x v="4"/>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C7D6F0-0F36-4BF0-A3AA-47BA099E3C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4:H19" firstHeaderRow="1" firstDataRow="1" firstDataCol="1"/>
  <pivotFields count="16">
    <pivotField showAll="0"/>
    <pivotField numFmtId="164" showAll="0"/>
    <pivotField showAll="0"/>
    <pivotField showAll="0">
      <items count="8">
        <item x="5"/>
        <item x="6"/>
        <item x="3"/>
        <item x="2"/>
        <item x="1"/>
        <item x="0"/>
        <item x="4"/>
        <item t="default"/>
      </items>
    </pivotField>
    <pivotField showAll="0"/>
    <pivotField showAll="0"/>
    <pivotField showAll="0">
      <items count="7">
        <item x="2"/>
        <item x="0"/>
        <item x="1"/>
        <item x="4"/>
        <item x="3"/>
        <item x="5"/>
        <item t="default"/>
      </items>
    </pivotField>
    <pivotField showAll="0"/>
    <pivotField showAll="0"/>
    <pivotField dataField="1" showAll="0"/>
    <pivotField axis="axisRow" showAll="0">
      <items count="5">
        <item x="3"/>
        <item x="0"/>
        <item x="1"/>
        <item x="2"/>
        <item t="default"/>
      </items>
    </pivotField>
    <pivotField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10"/>
  </rowFields>
  <rowItems count="5">
    <i>
      <x/>
    </i>
    <i>
      <x v="1"/>
    </i>
    <i>
      <x v="2"/>
    </i>
    <i>
      <x v="3"/>
    </i>
    <i t="grand">
      <x/>
    </i>
  </rowItems>
  <colItems count="1">
    <i/>
  </colItems>
  <dataFields count="1">
    <dataField name="Max of Yield (Kg/Ha)" fld="9" subtotal="max" baseField="1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4D544C-CC92-4885-9539-1D44C7D798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States">
  <location ref="D3:E11" firstHeaderRow="1" firstDataRow="1" firstDataCol="1"/>
  <pivotFields count="16">
    <pivotField showAll="0"/>
    <pivotField numFmtId="164" showAll="0"/>
    <pivotField showAll="0"/>
    <pivotField axis="axisRow" showAll="0">
      <items count="8">
        <item x="5"/>
        <item x="6"/>
        <item x="3"/>
        <item x="2"/>
        <item x="1"/>
        <item x="0"/>
        <item x="4"/>
        <item t="default"/>
      </items>
    </pivotField>
    <pivotField multipleItemSelectionAllowed="1" showAll="0">
      <items count="22">
        <item h="1" x="14"/>
        <item h="1" x="3"/>
        <item x="15"/>
        <item h="1" x="9"/>
        <item h="1" x="18"/>
        <item h="1" x="8"/>
        <item h="1" x="17"/>
        <item h="1" x="20"/>
        <item h="1" x="16"/>
        <item h="1" x="12"/>
        <item h="1" x="11"/>
        <item h="1" x="4"/>
        <item h="1" x="0"/>
        <item h="1" x="1"/>
        <item h="1" x="19"/>
        <item h="1" x="5"/>
        <item h="1" x="13"/>
        <item h="1" x="10"/>
        <item h="1" x="7"/>
        <item h="1" x="2"/>
        <item h="1" x="6"/>
        <item t="default"/>
      </items>
    </pivotField>
    <pivotField showAll="0"/>
    <pivotField showAll="0">
      <items count="7">
        <item x="2"/>
        <item x="0"/>
        <item x="1"/>
        <item x="4"/>
        <item x="3"/>
        <item x="5"/>
        <item t="default"/>
      </items>
    </pivotField>
    <pivotField showAll="0"/>
    <pivotField showAll="0"/>
    <pivotField dataField="1" showAll="0"/>
    <pivotField showAll="0">
      <items count="5">
        <item x="3"/>
        <item x="0"/>
        <item x="1"/>
        <item x="2"/>
        <item t="default"/>
      </items>
    </pivotField>
    <pivotField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3"/>
  </rowFields>
  <rowItems count="8">
    <i>
      <x/>
    </i>
    <i>
      <x v="1"/>
    </i>
    <i>
      <x v="2"/>
    </i>
    <i>
      <x v="3"/>
    </i>
    <i>
      <x v="4"/>
    </i>
    <i>
      <x v="5"/>
    </i>
    <i>
      <x v="6"/>
    </i>
    <i t="grand">
      <x/>
    </i>
  </rowItems>
  <colItems count="1">
    <i/>
  </colItems>
  <dataFields count="1">
    <dataField name="Average of Yield (Kg/Ha)"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72F04B-0C1F-4960-8159-3AD695288A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H40" firstHeaderRow="1" firstDataRow="2" firstDataCol="1"/>
  <pivotFields count="16">
    <pivotField showAll="0"/>
    <pivotField numFmtId="164" showAll="0"/>
    <pivotField showAll="0"/>
    <pivotField showAll="0">
      <items count="8">
        <item x="5"/>
        <item x="6"/>
        <item x="3"/>
        <item x="2"/>
        <item x="1"/>
        <item x="0"/>
        <item x="4"/>
        <item t="default"/>
      </items>
    </pivotField>
    <pivotField showAll="0"/>
    <pivotField axis="axisCol" showAll="0">
      <items count="4">
        <item x="1"/>
        <item x="2"/>
        <item x="0"/>
        <item t="default"/>
      </items>
    </pivotField>
    <pivotField showAll="0">
      <items count="7">
        <item x="2"/>
        <item x="0"/>
        <item x="1"/>
        <item x="4"/>
        <item x="3"/>
        <item x="5"/>
        <item t="default"/>
      </items>
    </pivotField>
    <pivotField showAll="0"/>
    <pivotField dataField="1" showAll="0"/>
    <pivotField showAll="0"/>
    <pivotField axis="axisRow" showAll="0">
      <items count="5">
        <item x="3"/>
        <item x="0"/>
        <item x="1"/>
        <item x="2"/>
        <item t="default"/>
      </items>
    </pivotField>
    <pivotField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10"/>
  </rowFields>
  <rowItems count="5">
    <i>
      <x/>
    </i>
    <i>
      <x v="1"/>
    </i>
    <i>
      <x v="2"/>
    </i>
    <i>
      <x v="3"/>
    </i>
    <i t="grand">
      <x/>
    </i>
  </rowItems>
  <colFields count="1">
    <field x="5"/>
  </colFields>
  <colItems count="4">
    <i>
      <x/>
    </i>
    <i>
      <x v="1"/>
    </i>
    <i>
      <x v="2"/>
    </i>
    <i t="grand">
      <x/>
    </i>
  </colItems>
  <dataFields count="1">
    <dataField name="Average of Production (Tonnes)" fld="8"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CA7542-83DF-4849-BEB9-CD33025737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6">
    <pivotField showAll="0"/>
    <pivotField numFmtId="164" showAll="0"/>
    <pivotField showAll="0"/>
    <pivotField showAll="0">
      <items count="8">
        <item x="5"/>
        <item x="6"/>
        <item x="3"/>
        <item x="2"/>
        <item x="1"/>
        <item x="0"/>
        <item x="4"/>
        <item t="default"/>
      </items>
    </pivotField>
    <pivotField showAll="0"/>
    <pivotField showAll="0"/>
    <pivotField axis="axisRow" showAll="0">
      <items count="7">
        <item x="2"/>
        <item x="0"/>
        <item x="1"/>
        <item x="4"/>
        <item x="3"/>
        <item x="5"/>
        <item t="default"/>
      </items>
    </pivotField>
    <pivotField showAll="0"/>
    <pivotField showAll="0"/>
    <pivotField dataField="1" showAll="0"/>
    <pivotField showAll="0">
      <items count="5">
        <item x="3"/>
        <item x="0"/>
        <item x="1"/>
        <item x="2"/>
        <item t="default"/>
      </items>
    </pivotField>
    <pivotField showAll="0">
      <items count="6">
        <item x="1"/>
        <item x="2"/>
        <item x="4"/>
        <item x="0"/>
        <item x="3"/>
        <item t="default"/>
      </items>
    </pivotField>
    <pivotField showAll="0"/>
    <pivotField showAll="0"/>
    <pivotField showAll="0">
      <items count="6">
        <item x="4"/>
        <item x="0"/>
        <item x="2"/>
        <item x="1"/>
        <item x="3"/>
        <item t="default"/>
      </items>
    </pivotField>
    <pivotField showAll="0"/>
  </pivotFields>
  <rowFields count="1">
    <field x="6"/>
  </rowFields>
  <rowItems count="7">
    <i>
      <x/>
    </i>
    <i>
      <x v="1"/>
    </i>
    <i>
      <x v="2"/>
    </i>
    <i>
      <x v="3"/>
    </i>
    <i>
      <x v="4"/>
    </i>
    <i>
      <x v="5"/>
    </i>
    <i t="grand">
      <x/>
    </i>
  </rowItems>
  <colItems count="1">
    <i/>
  </colItems>
  <dataFields count="1">
    <dataField name="Average of Yield (Kg/Ha)" fld="9" subtotal="average" baseField="6" baseItem="0"/>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6" format="4">
      <pivotArea type="data" outline="0" fieldPosition="0">
        <references count="2">
          <reference field="4294967294" count="1" selected="0">
            <x v="0"/>
          </reference>
          <reference field="6" count="1" selected="0">
            <x v="0"/>
          </reference>
        </references>
      </pivotArea>
    </chartFormat>
    <chartFormat chart="6" format="5">
      <pivotArea type="data" outline="0" fieldPosition="0">
        <references count="2">
          <reference field="4294967294" count="1" selected="0">
            <x v="0"/>
          </reference>
          <reference field="6" count="1" selected="0">
            <x v="2"/>
          </reference>
        </references>
      </pivotArea>
    </chartFormat>
    <chartFormat chart="6" format="6">
      <pivotArea type="data" outline="0" fieldPosition="0">
        <references count="2">
          <reference field="4294967294" count="1" selected="0">
            <x v="0"/>
          </reference>
          <reference field="6" count="1" selected="0">
            <x v="3"/>
          </reference>
        </references>
      </pivotArea>
    </chartFormat>
    <chartFormat chart="6" format="7">
      <pivotArea type="data" outline="0" fieldPosition="0">
        <references count="2">
          <reference field="4294967294" count="1" selected="0">
            <x v="0"/>
          </reference>
          <reference field="6" count="1" selected="0">
            <x v="5"/>
          </reference>
        </references>
      </pivotArea>
    </chartFormat>
    <chartFormat chart="6" format="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8966F15-D28A-484D-A8D7-EB843688C9D2}" sourceName="State">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2119177331">
      <items count="7">
        <i x="5" s="1"/>
        <i x="6"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D4E5D39A-6A23-41B5-B58A-7823B470C8BF}" sourceName="Irrigation Typ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211917733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D91D29B1-D7B5-4ABA-A8AE-4FA114798D0A}" sourceName="Soil Type">
  <pivotTables>
    <pivotTable tabId="2" name="PivotTable4"/>
    <pivotTable tabId="2" name="PivotTable1"/>
    <pivotTable tabId="2" name="PivotTable2"/>
    <pivotTable tabId="2" name="PivotTable3"/>
    <pivotTable tabId="2" name="PivotTable6"/>
    <pivotTable tabId="2" name="PivotTable7"/>
    <pivotTable tabId="2" name="PivotTable8"/>
  </pivotTables>
  <data>
    <tabular pivotCacheId="2119177331">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 xr10:uid="{CA52B122-51BC-4EBF-BDB8-B1019254ECF3}" sourceName="Crop Nam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2119177331">
      <items count="6">
        <i x="2" s="1"/>
        <i x="0" s="1"/>
        <i x="1"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FB116F1-3690-4245-AED9-D263F67422F0}" cache="Slicer_State" caption="State" columnCount="2" style="SlicerStyleDark2" rowHeight="220133"/>
  <slicer name="Irrigation Type" xr10:uid="{7003736E-5D33-44DD-B14A-7FD82749E2BA}" cache="Slicer_Irrigation_Type" caption="Irrigation Type" columnCount="2" style="SlicerStyleDark2" rowHeight="220133"/>
  <slicer name="Soil Type" xr10:uid="{7BB7D257-20FD-4C9A-A4C2-5D342B72798C}" cache="Slicer_Soil_Type" caption="Soil Type" style="SlicerStyleDark2" rowHeight="220133"/>
  <slicer name="Crop Name" xr10:uid="{0EA86D0B-7C5B-4004-8D52-A9366FAD2197}" cache="Slicer_Crop_Name" caption="Crop Name" columnCount="2" style="SlicerStyleDark2" rowHeight="220133"/>
</slicers>
</file>

<file path=xl/theme/theme1.xml><?xml version="1.0" encoding="utf-8"?>
<a:theme xmlns:a="http://schemas.openxmlformats.org/drawingml/2006/main" name="Sheets">
  <a:themeElements>
    <a:clrScheme name="kasi1">
      <a:dk1>
        <a:sysClr val="windowText" lastClr="000000"/>
      </a:dk1>
      <a:lt1>
        <a:sysClr val="window" lastClr="FFFFFF"/>
      </a:lt1>
      <a:dk2>
        <a:srgbClr val="44546A"/>
      </a:dk2>
      <a:lt2>
        <a:srgbClr val="E7E6E6"/>
      </a:lt2>
      <a:accent1>
        <a:srgbClr val="00B0F0"/>
      </a:accent1>
      <a:accent2>
        <a:srgbClr val="00CC99"/>
      </a:accent2>
      <a:accent3>
        <a:srgbClr val="A5A5A5"/>
      </a:accent3>
      <a:accent4>
        <a:srgbClr val="FFC000"/>
      </a:accent4>
      <a:accent5>
        <a:srgbClr val="9900FF"/>
      </a:accent5>
      <a:accent6>
        <a:srgbClr val="0099FF"/>
      </a:accent6>
      <a:hlink>
        <a:srgbClr val="0563C1"/>
      </a:hlink>
      <a:folHlink>
        <a:srgbClr val="954F7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E4CFDB4-D622-455F-8C14-E368F0AC1673}" sourceName="Date">
  <pivotTables>
    <pivotTable tabId="2" name="PivotTable2"/>
  </pivotTables>
  <state minimalRefreshVersion="6" lastRefreshVersion="6" pivotCacheId="2119177331" filterType="dateBetween">
    <selection startDate="2010-01-01T00:00:00" endDate="2022-12-31T00:00:00"/>
    <bounds startDate="201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150E9B7-DD80-4502-8725-29BEF56C1FF5}" cache="NativeTimeline_Date" caption="Date" showHeader="0" showTimeLevel="0" level="0" selectionLevel="0" scrollPosition="2010-01-01T00:00:00" style="TimeSlicerStyleLight4 2"/>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501"/>
  <sheetViews>
    <sheetView workbookViewId="0">
      <selection activeCell="B2" sqref="A1:P501"/>
    </sheetView>
  </sheetViews>
  <sheetFormatPr defaultColWidth="12.6328125" defaultRowHeight="15.75" customHeight="1" x14ac:dyDescent="0.25"/>
  <cols>
    <col min="1" max="1" width="7" bestFit="1" customWidth="1"/>
    <col min="2" max="2" width="9.36328125" bestFit="1" customWidth="1"/>
    <col min="3" max="3" width="4.54296875" bestFit="1" customWidth="1"/>
    <col min="4" max="4" width="10.54296875" bestFit="1" customWidth="1"/>
    <col min="5" max="5" width="8.453125" bestFit="1" customWidth="1"/>
    <col min="6" max="6" width="6.1796875" bestFit="1" customWidth="1"/>
    <col min="7" max="7" width="9.54296875" bestFit="1" customWidth="1"/>
    <col min="8" max="8" width="13.453125" bestFit="1" customWidth="1"/>
    <col min="9" max="9" width="16.453125" bestFit="1" customWidth="1"/>
    <col min="10" max="10" width="11.453125" bestFit="1" customWidth="1"/>
    <col min="11" max="11" width="12.453125" bestFit="1" customWidth="1"/>
    <col min="12" max="12" width="12.36328125" bestFit="1" customWidth="1"/>
    <col min="13" max="13" width="16.26953125" bestFit="1" customWidth="1"/>
    <col min="14" max="14" width="11.26953125" bestFit="1" customWidth="1"/>
    <col min="15" max="15" width="8" bestFit="1" customWidth="1"/>
    <col min="16" max="16" width="18.26953125" bestFit="1" customWidth="1"/>
  </cols>
  <sheetData>
    <row r="1" spans="1:16" s="4" customFormat="1" ht="15.7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5.75" customHeight="1" x14ac:dyDescent="0.3">
      <c r="A2" s="1" t="s">
        <v>16</v>
      </c>
      <c r="B2" s="2">
        <v>40271</v>
      </c>
      <c r="C2" s="1">
        <v>2010</v>
      </c>
      <c r="D2" s="1" t="s">
        <v>17</v>
      </c>
      <c r="E2" s="1" t="s">
        <v>18</v>
      </c>
      <c r="F2" s="1" t="s">
        <v>19</v>
      </c>
      <c r="G2" s="1" t="s">
        <v>20</v>
      </c>
      <c r="H2" s="1">
        <v>25.24</v>
      </c>
      <c r="I2" s="1">
        <v>46.37</v>
      </c>
      <c r="J2" s="1">
        <v>1837.23</v>
      </c>
      <c r="K2" s="1" t="s">
        <v>21</v>
      </c>
      <c r="L2" s="1" t="s">
        <v>22</v>
      </c>
      <c r="M2" s="1">
        <v>219.17</v>
      </c>
      <c r="N2" s="1">
        <v>1092.18</v>
      </c>
      <c r="O2" s="1" t="s">
        <v>23</v>
      </c>
      <c r="P2" s="1">
        <v>28.86</v>
      </c>
    </row>
    <row r="3" spans="1:16" ht="15.75" customHeight="1" x14ac:dyDescent="0.3">
      <c r="A3" s="1" t="s">
        <v>24</v>
      </c>
      <c r="B3" s="2">
        <v>41375</v>
      </c>
      <c r="C3" s="1">
        <v>2013</v>
      </c>
      <c r="D3" s="1" t="s">
        <v>25</v>
      </c>
      <c r="E3" s="1" t="s">
        <v>26</v>
      </c>
      <c r="F3" s="1" t="s">
        <v>19</v>
      </c>
      <c r="G3" s="1" t="s">
        <v>27</v>
      </c>
      <c r="H3" s="1">
        <v>3.63</v>
      </c>
      <c r="I3" s="1">
        <v>7.96</v>
      </c>
      <c r="J3" s="1">
        <v>2193.0300000000002</v>
      </c>
      <c r="K3" s="1" t="s">
        <v>28</v>
      </c>
      <c r="L3" s="1" t="s">
        <v>29</v>
      </c>
      <c r="M3" s="1">
        <v>105.11</v>
      </c>
      <c r="N3" s="1">
        <v>789.27</v>
      </c>
      <c r="O3" s="1" t="s">
        <v>23</v>
      </c>
      <c r="P3" s="1">
        <v>31.38</v>
      </c>
    </row>
    <row r="4" spans="1:16" ht="15.75" customHeight="1" x14ac:dyDescent="0.3">
      <c r="A4" s="1" t="s">
        <v>30</v>
      </c>
      <c r="B4" s="2">
        <v>41198</v>
      </c>
      <c r="C4" s="1">
        <v>2012</v>
      </c>
      <c r="D4" s="1" t="s">
        <v>31</v>
      </c>
      <c r="E4" s="1" t="s">
        <v>32</v>
      </c>
      <c r="F4" s="1" t="s">
        <v>33</v>
      </c>
      <c r="G4" s="1" t="s">
        <v>20</v>
      </c>
      <c r="H4" s="1">
        <v>11.12</v>
      </c>
      <c r="I4" s="1">
        <v>36.47</v>
      </c>
      <c r="J4" s="1">
        <v>3279.56</v>
      </c>
      <c r="K4" s="1" t="s">
        <v>34</v>
      </c>
      <c r="L4" s="1" t="s">
        <v>22</v>
      </c>
      <c r="M4" s="1">
        <v>261.87</v>
      </c>
      <c r="N4" s="1">
        <v>803.73</v>
      </c>
      <c r="O4" s="1" t="s">
        <v>23</v>
      </c>
      <c r="P4" s="1">
        <v>30.95</v>
      </c>
    </row>
    <row r="5" spans="1:16" ht="15.75" customHeight="1" x14ac:dyDescent="0.3">
      <c r="A5" s="1" t="s">
        <v>35</v>
      </c>
      <c r="B5" s="2">
        <v>43425</v>
      </c>
      <c r="C5" s="1">
        <v>2018</v>
      </c>
      <c r="D5" s="1" t="s">
        <v>36</v>
      </c>
      <c r="E5" s="1" t="s">
        <v>37</v>
      </c>
      <c r="F5" s="1" t="s">
        <v>38</v>
      </c>
      <c r="G5" s="1" t="s">
        <v>39</v>
      </c>
      <c r="H5" s="1">
        <v>62.23</v>
      </c>
      <c r="I5" s="1">
        <v>383.97</v>
      </c>
      <c r="J5" s="1">
        <v>6170.24</v>
      </c>
      <c r="K5" s="1" t="s">
        <v>40</v>
      </c>
      <c r="L5" s="1" t="s">
        <v>41</v>
      </c>
      <c r="M5" s="1">
        <v>226.14</v>
      </c>
      <c r="N5" s="1">
        <v>245.82</v>
      </c>
      <c r="O5" s="1" t="s">
        <v>42</v>
      </c>
      <c r="P5" s="1">
        <v>31.6</v>
      </c>
    </row>
    <row r="6" spans="1:16" ht="15.75" customHeight="1" x14ac:dyDescent="0.3">
      <c r="A6" s="1" t="s">
        <v>43</v>
      </c>
      <c r="B6" s="2">
        <v>42718</v>
      </c>
      <c r="C6" s="1">
        <v>2016</v>
      </c>
      <c r="D6" s="1" t="s">
        <v>44</v>
      </c>
      <c r="E6" s="1" t="s">
        <v>45</v>
      </c>
      <c r="F6" s="1" t="s">
        <v>38</v>
      </c>
      <c r="G6" s="1" t="s">
        <v>46</v>
      </c>
      <c r="H6" s="1">
        <v>63.93</v>
      </c>
      <c r="I6" s="1">
        <v>203.87</v>
      </c>
      <c r="J6" s="1">
        <v>3188.99</v>
      </c>
      <c r="K6" s="1" t="s">
        <v>34</v>
      </c>
      <c r="L6" s="1" t="s">
        <v>47</v>
      </c>
      <c r="M6" s="1">
        <v>138.82</v>
      </c>
      <c r="N6" s="1">
        <v>870.18</v>
      </c>
      <c r="O6" s="1" t="s">
        <v>23</v>
      </c>
      <c r="P6" s="1">
        <v>29.14</v>
      </c>
    </row>
    <row r="7" spans="1:16" ht="15.75" customHeight="1" x14ac:dyDescent="0.3">
      <c r="A7" s="1" t="s">
        <v>48</v>
      </c>
      <c r="B7" s="2">
        <v>41222</v>
      </c>
      <c r="C7" s="1">
        <v>2012</v>
      </c>
      <c r="D7" s="1" t="s">
        <v>17</v>
      </c>
      <c r="E7" s="1" t="s">
        <v>18</v>
      </c>
      <c r="F7" s="1" t="s">
        <v>38</v>
      </c>
      <c r="G7" s="1" t="s">
        <v>46</v>
      </c>
      <c r="H7" s="1">
        <v>27.72</v>
      </c>
      <c r="I7" s="1">
        <v>181.63</v>
      </c>
      <c r="J7" s="1">
        <v>6552.35</v>
      </c>
      <c r="K7" s="1" t="s">
        <v>40</v>
      </c>
      <c r="L7" s="1" t="s">
        <v>49</v>
      </c>
      <c r="M7" s="1">
        <v>221.15</v>
      </c>
      <c r="N7" s="1">
        <v>1042.8499999999999</v>
      </c>
      <c r="O7" s="1" t="s">
        <v>23</v>
      </c>
      <c r="P7" s="1">
        <v>23.44</v>
      </c>
    </row>
    <row r="8" spans="1:16" ht="15.75" customHeight="1" x14ac:dyDescent="0.3">
      <c r="A8" s="1" t="s">
        <v>50</v>
      </c>
      <c r="B8" s="2">
        <v>40730</v>
      </c>
      <c r="C8" s="1">
        <v>2011</v>
      </c>
      <c r="D8" s="1" t="s">
        <v>36</v>
      </c>
      <c r="E8" s="1" t="s">
        <v>51</v>
      </c>
      <c r="F8" s="1" t="s">
        <v>33</v>
      </c>
      <c r="G8" s="1" t="s">
        <v>27</v>
      </c>
      <c r="H8" s="1">
        <v>87.76</v>
      </c>
      <c r="I8" s="1">
        <v>253.46</v>
      </c>
      <c r="J8" s="1">
        <v>2888.07</v>
      </c>
      <c r="K8" s="1" t="s">
        <v>28</v>
      </c>
      <c r="L8" s="1" t="s">
        <v>41</v>
      </c>
      <c r="M8" s="1">
        <v>148.91</v>
      </c>
      <c r="N8" s="1">
        <v>1114.55</v>
      </c>
      <c r="O8" s="1" t="s">
        <v>52</v>
      </c>
      <c r="P8" s="1">
        <v>22.14</v>
      </c>
    </row>
    <row r="9" spans="1:16" ht="15.75" customHeight="1" x14ac:dyDescent="0.3">
      <c r="A9" s="1" t="s">
        <v>53</v>
      </c>
      <c r="B9" s="2">
        <v>43428</v>
      </c>
      <c r="C9" s="1">
        <v>2018</v>
      </c>
      <c r="D9" s="1" t="s">
        <v>17</v>
      </c>
      <c r="E9" s="1" t="s">
        <v>54</v>
      </c>
      <c r="F9" s="1" t="s">
        <v>38</v>
      </c>
      <c r="G9" s="1" t="s">
        <v>39</v>
      </c>
      <c r="H9" s="1">
        <v>58.87</v>
      </c>
      <c r="I9" s="1">
        <v>376</v>
      </c>
      <c r="J9" s="1">
        <v>6386.94</v>
      </c>
      <c r="K9" s="1" t="s">
        <v>28</v>
      </c>
      <c r="L9" s="1" t="s">
        <v>22</v>
      </c>
      <c r="M9" s="1">
        <v>140.5</v>
      </c>
      <c r="N9" s="1">
        <v>1197.33</v>
      </c>
      <c r="O9" s="1" t="s">
        <v>42</v>
      </c>
      <c r="P9" s="1">
        <v>27.64</v>
      </c>
    </row>
    <row r="10" spans="1:16" ht="15.75" customHeight="1" x14ac:dyDescent="0.3">
      <c r="A10" s="1" t="s">
        <v>55</v>
      </c>
      <c r="B10" s="2">
        <v>41035</v>
      </c>
      <c r="C10" s="1">
        <v>2012</v>
      </c>
      <c r="D10" s="1" t="s">
        <v>44</v>
      </c>
      <c r="E10" s="1" t="s">
        <v>45</v>
      </c>
      <c r="F10" s="1" t="s">
        <v>19</v>
      </c>
      <c r="G10" s="1" t="s">
        <v>56</v>
      </c>
      <c r="H10" s="1">
        <v>79.42</v>
      </c>
      <c r="I10" s="1">
        <v>280.58999999999997</v>
      </c>
      <c r="J10" s="1">
        <v>3532.96</v>
      </c>
      <c r="K10" s="1" t="s">
        <v>21</v>
      </c>
      <c r="L10" s="1" t="s">
        <v>22</v>
      </c>
      <c r="M10" s="1">
        <v>146.19</v>
      </c>
      <c r="N10" s="1">
        <v>795.89</v>
      </c>
      <c r="O10" s="1" t="s">
        <v>52</v>
      </c>
      <c r="P10" s="1">
        <v>27.94</v>
      </c>
    </row>
    <row r="11" spans="1:16" ht="15.75" customHeight="1" x14ac:dyDescent="0.3">
      <c r="A11" s="1" t="s">
        <v>57</v>
      </c>
      <c r="B11" s="2">
        <v>40680</v>
      </c>
      <c r="C11" s="1">
        <v>2011</v>
      </c>
      <c r="D11" s="1" t="s">
        <v>17</v>
      </c>
      <c r="E11" s="1" t="s">
        <v>54</v>
      </c>
      <c r="F11" s="1" t="s">
        <v>19</v>
      </c>
      <c r="G11" s="1" t="s">
        <v>27</v>
      </c>
      <c r="H11" s="1">
        <v>75.34</v>
      </c>
      <c r="I11" s="1">
        <v>422.78</v>
      </c>
      <c r="J11" s="1">
        <v>5611.59</v>
      </c>
      <c r="K11" s="1" t="s">
        <v>34</v>
      </c>
      <c r="L11" s="1" t="s">
        <v>49</v>
      </c>
      <c r="M11" s="1">
        <v>77.89</v>
      </c>
      <c r="N11" s="1">
        <v>634.77</v>
      </c>
      <c r="O11" s="1" t="s">
        <v>52</v>
      </c>
      <c r="P11" s="1">
        <v>20.05</v>
      </c>
    </row>
    <row r="12" spans="1:16" ht="15.75" customHeight="1" x14ac:dyDescent="0.3">
      <c r="A12" s="1" t="s">
        <v>58</v>
      </c>
      <c r="B12" s="2">
        <v>43387</v>
      </c>
      <c r="C12" s="1">
        <v>2018</v>
      </c>
      <c r="D12" s="1" t="s">
        <v>59</v>
      </c>
      <c r="E12" s="1" t="s">
        <v>60</v>
      </c>
      <c r="F12" s="1" t="s">
        <v>33</v>
      </c>
      <c r="G12" s="1" t="s">
        <v>39</v>
      </c>
      <c r="H12" s="1">
        <v>30.55</v>
      </c>
      <c r="I12" s="1">
        <v>147.66999999999999</v>
      </c>
      <c r="J12" s="1">
        <v>4833.7</v>
      </c>
      <c r="K12" s="1" t="s">
        <v>40</v>
      </c>
      <c r="L12" s="1" t="s">
        <v>22</v>
      </c>
      <c r="M12" s="1">
        <v>88.21</v>
      </c>
      <c r="N12" s="1">
        <v>962.51</v>
      </c>
      <c r="O12" s="1" t="s">
        <v>61</v>
      </c>
      <c r="P12" s="1">
        <v>34.299999999999997</v>
      </c>
    </row>
    <row r="13" spans="1:16" ht="15.75" customHeight="1" x14ac:dyDescent="0.3">
      <c r="A13" s="1" t="s">
        <v>62</v>
      </c>
      <c r="B13" s="2">
        <v>42908</v>
      </c>
      <c r="C13" s="1">
        <v>2017</v>
      </c>
      <c r="D13" s="1" t="s">
        <v>59</v>
      </c>
      <c r="E13" s="1" t="s">
        <v>63</v>
      </c>
      <c r="F13" s="1" t="s">
        <v>33</v>
      </c>
      <c r="G13" s="1" t="s">
        <v>64</v>
      </c>
      <c r="H13" s="1">
        <v>92.98</v>
      </c>
      <c r="I13" s="1">
        <v>583.20000000000005</v>
      </c>
      <c r="J13" s="1">
        <v>6272.33</v>
      </c>
      <c r="K13" s="1" t="s">
        <v>34</v>
      </c>
      <c r="L13" s="1" t="s">
        <v>29</v>
      </c>
      <c r="M13" s="1">
        <v>109.86</v>
      </c>
      <c r="N13" s="1">
        <v>440.87</v>
      </c>
      <c r="O13" s="1" t="s">
        <v>61</v>
      </c>
      <c r="P13" s="1">
        <v>34.200000000000003</v>
      </c>
    </row>
    <row r="14" spans="1:16" ht="15.75" customHeight="1" x14ac:dyDescent="0.3">
      <c r="A14" s="1" t="s">
        <v>65</v>
      </c>
      <c r="B14" s="2">
        <v>44711</v>
      </c>
      <c r="C14" s="1">
        <v>2022</v>
      </c>
      <c r="D14" s="1" t="s">
        <v>44</v>
      </c>
      <c r="E14" s="1" t="s">
        <v>45</v>
      </c>
      <c r="F14" s="1" t="s">
        <v>19</v>
      </c>
      <c r="G14" s="1" t="s">
        <v>56</v>
      </c>
      <c r="H14" s="1">
        <v>13.71</v>
      </c>
      <c r="I14" s="1">
        <v>52.81</v>
      </c>
      <c r="J14" s="1">
        <v>3851.69</v>
      </c>
      <c r="K14" s="1" t="s">
        <v>40</v>
      </c>
      <c r="L14" s="1" t="s">
        <v>47</v>
      </c>
      <c r="M14" s="1">
        <v>116.26</v>
      </c>
      <c r="N14" s="1">
        <v>1072.43</v>
      </c>
      <c r="O14" s="1" t="s">
        <v>52</v>
      </c>
      <c r="P14" s="1">
        <v>34.47</v>
      </c>
    </row>
    <row r="15" spans="1:16" ht="15.75" customHeight="1" x14ac:dyDescent="0.3">
      <c r="A15" s="1" t="s">
        <v>66</v>
      </c>
      <c r="B15" s="2">
        <v>44364</v>
      </c>
      <c r="C15" s="1">
        <v>2021</v>
      </c>
      <c r="D15" s="1" t="s">
        <v>44</v>
      </c>
      <c r="E15" s="1" t="s">
        <v>67</v>
      </c>
      <c r="F15" s="1" t="s">
        <v>33</v>
      </c>
      <c r="G15" s="1" t="s">
        <v>39</v>
      </c>
      <c r="H15" s="1">
        <v>31.86</v>
      </c>
      <c r="I15" s="1">
        <v>222.09</v>
      </c>
      <c r="J15" s="1">
        <v>6970.9</v>
      </c>
      <c r="K15" s="1" t="s">
        <v>34</v>
      </c>
      <c r="L15" s="1" t="s">
        <v>49</v>
      </c>
      <c r="M15" s="1">
        <v>159.53</v>
      </c>
      <c r="N15" s="1">
        <v>717.58</v>
      </c>
      <c r="O15" s="1" t="s">
        <v>23</v>
      </c>
      <c r="P15" s="1">
        <v>23.72</v>
      </c>
    </row>
    <row r="16" spans="1:16" ht="15.75" customHeight="1" x14ac:dyDescent="0.3">
      <c r="A16" s="1" t="s">
        <v>68</v>
      </c>
      <c r="B16" s="2">
        <v>43312</v>
      </c>
      <c r="C16" s="1">
        <v>2018</v>
      </c>
      <c r="D16" s="1" t="s">
        <v>25</v>
      </c>
      <c r="E16" s="1" t="s">
        <v>69</v>
      </c>
      <c r="F16" s="1" t="s">
        <v>33</v>
      </c>
      <c r="G16" s="1" t="s">
        <v>27</v>
      </c>
      <c r="H16" s="1">
        <v>22.8</v>
      </c>
      <c r="I16" s="1">
        <v>32.51</v>
      </c>
      <c r="J16" s="1">
        <v>1425.96</v>
      </c>
      <c r="K16" s="1" t="s">
        <v>21</v>
      </c>
      <c r="L16" s="1" t="s">
        <v>49</v>
      </c>
      <c r="M16" s="1">
        <v>107.24</v>
      </c>
      <c r="N16" s="1">
        <v>1105.42</v>
      </c>
      <c r="O16" s="1" t="s">
        <v>70</v>
      </c>
      <c r="P16" s="1">
        <v>21.06</v>
      </c>
    </row>
    <row r="17" spans="1:16" ht="15.75" customHeight="1" x14ac:dyDescent="0.3">
      <c r="A17" s="1" t="s">
        <v>71</v>
      </c>
      <c r="B17" s="2">
        <v>41371</v>
      </c>
      <c r="C17" s="1">
        <v>2013</v>
      </c>
      <c r="D17" s="1" t="s">
        <v>17</v>
      </c>
      <c r="E17" s="1" t="s">
        <v>72</v>
      </c>
      <c r="F17" s="1" t="s">
        <v>19</v>
      </c>
      <c r="G17" s="1" t="s">
        <v>56</v>
      </c>
      <c r="H17" s="1">
        <v>72.61</v>
      </c>
      <c r="I17" s="1">
        <v>457.03</v>
      </c>
      <c r="J17" s="1">
        <v>6294.3</v>
      </c>
      <c r="K17" s="1" t="s">
        <v>28</v>
      </c>
      <c r="L17" s="1" t="s">
        <v>29</v>
      </c>
      <c r="M17" s="1">
        <v>110.75</v>
      </c>
      <c r="N17" s="1">
        <v>672.97</v>
      </c>
      <c r="O17" s="1" t="s">
        <v>52</v>
      </c>
      <c r="P17" s="1">
        <v>22.86</v>
      </c>
    </row>
    <row r="18" spans="1:16" ht="15.75" customHeight="1" x14ac:dyDescent="0.3">
      <c r="A18" s="1" t="s">
        <v>73</v>
      </c>
      <c r="B18" s="2">
        <v>42723</v>
      </c>
      <c r="C18" s="1">
        <v>2016</v>
      </c>
      <c r="D18" s="1" t="s">
        <v>31</v>
      </c>
      <c r="E18" s="1" t="s">
        <v>32</v>
      </c>
      <c r="F18" s="1" t="s">
        <v>38</v>
      </c>
      <c r="G18" s="1" t="s">
        <v>39</v>
      </c>
      <c r="H18" s="1">
        <v>6.36</v>
      </c>
      <c r="I18" s="1">
        <v>31.3</v>
      </c>
      <c r="J18" s="1">
        <v>4920.7299999999996</v>
      </c>
      <c r="K18" s="1" t="s">
        <v>21</v>
      </c>
      <c r="L18" s="1" t="s">
        <v>47</v>
      </c>
      <c r="M18" s="1">
        <v>65.150000000000006</v>
      </c>
      <c r="N18" s="1">
        <v>928.21</v>
      </c>
      <c r="O18" s="1" t="s">
        <v>23</v>
      </c>
      <c r="P18" s="1">
        <v>23.73</v>
      </c>
    </row>
    <row r="19" spans="1:16" ht="15.75" customHeight="1" x14ac:dyDescent="0.3">
      <c r="A19" s="1" t="s">
        <v>74</v>
      </c>
      <c r="B19" s="2">
        <v>42660</v>
      </c>
      <c r="C19" s="1">
        <v>2016</v>
      </c>
      <c r="D19" s="1" t="s">
        <v>36</v>
      </c>
      <c r="E19" s="1" t="s">
        <v>37</v>
      </c>
      <c r="F19" s="1" t="s">
        <v>33</v>
      </c>
      <c r="G19" s="1" t="s">
        <v>20</v>
      </c>
      <c r="H19" s="1">
        <v>46.8</v>
      </c>
      <c r="I19" s="1">
        <v>292.36</v>
      </c>
      <c r="J19" s="1">
        <v>6246.92</v>
      </c>
      <c r="K19" s="1" t="s">
        <v>21</v>
      </c>
      <c r="L19" s="1" t="s">
        <v>22</v>
      </c>
      <c r="M19" s="1">
        <v>160.78</v>
      </c>
      <c r="N19" s="1">
        <v>1061.3499999999999</v>
      </c>
      <c r="O19" s="1" t="s">
        <v>61</v>
      </c>
      <c r="P19" s="1">
        <v>21.47</v>
      </c>
    </row>
    <row r="20" spans="1:16" ht="15.75" customHeight="1" x14ac:dyDescent="0.3">
      <c r="A20" s="1" t="s">
        <v>75</v>
      </c>
      <c r="B20" s="2">
        <v>41330</v>
      </c>
      <c r="C20" s="1">
        <v>2012</v>
      </c>
      <c r="D20" s="1" t="s">
        <v>25</v>
      </c>
      <c r="E20" s="1" t="s">
        <v>26</v>
      </c>
      <c r="F20" s="1" t="s">
        <v>38</v>
      </c>
      <c r="G20" s="1" t="s">
        <v>46</v>
      </c>
      <c r="H20" s="1">
        <v>48.65</v>
      </c>
      <c r="I20" s="1">
        <v>301.04000000000002</v>
      </c>
      <c r="J20" s="1">
        <v>6187.9</v>
      </c>
      <c r="K20" s="1" t="s">
        <v>21</v>
      </c>
      <c r="L20" s="1" t="s">
        <v>49</v>
      </c>
      <c r="M20" s="1">
        <v>91.16</v>
      </c>
      <c r="N20" s="1">
        <v>202.16</v>
      </c>
      <c r="O20" s="1" t="s">
        <v>52</v>
      </c>
      <c r="P20" s="1">
        <v>23.98</v>
      </c>
    </row>
    <row r="21" spans="1:16" ht="15.75" customHeight="1" x14ac:dyDescent="0.3">
      <c r="A21" s="1" t="s">
        <v>76</v>
      </c>
      <c r="B21" s="2">
        <v>44307</v>
      </c>
      <c r="C21" s="1">
        <v>2021</v>
      </c>
      <c r="D21" s="1" t="s">
        <v>36</v>
      </c>
      <c r="E21" s="1" t="s">
        <v>77</v>
      </c>
      <c r="F21" s="1" t="s">
        <v>19</v>
      </c>
      <c r="G21" s="1" t="s">
        <v>39</v>
      </c>
      <c r="H21" s="1">
        <v>72.12</v>
      </c>
      <c r="I21" s="1">
        <v>139.1</v>
      </c>
      <c r="J21" s="1">
        <v>1928.78</v>
      </c>
      <c r="K21" s="1" t="s">
        <v>34</v>
      </c>
      <c r="L21" s="1" t="s">
        <v>22</v>
      </c>
      <c r="M21" s="1">
        <v>104.43</v>
      </c>
      <c r="N21" s="1">
        <v>258.48</v>
      </c>
      <c r="O21" s="1" t="s">
        <v>61</v>
      </c>
      <c r="P21" s="1">
        <v>20.91</v>
      </c>
    </row>
    <row r="22" spans="1:16" ht="15.75" customHeight="1" x14ac:dyDescent="0.3">
      <c r="A22" s="1" t="s">
        <v>78</v>
      </c>
      <c r="B22" s="2">
        <v>42841</v>
      </c>
      <c r="C22" s="1">
        <v>2017</v>
      </c>
      <c r="D22" s="1" t="s">
        <v>25</v>
      </c>
      <c r="E22" s="1" t="s">
        <v>69</v>
      </c>
      <c r="F22" s="1" t="s">
        <v>19</v>
      </c>
      <c r="G22" s="1" t="s">
        <v>27</v>
      </c>
      <c r="H22" s="1">
        <v>16.59</v>
      </c>
      <c r="I22" s="1">
        <v>112.23</v>
      </c>
      <c r="J22" s="1">
        <v>6764.67</v>
      </c>
      <c r="K22" s="1" t="s">
        <v>21</v>
      </c>
      <c r="L22" s="1" t="s">
        <v>29</v>
      </c>
      <c r="M22" s="1">
        <v>262.83999999999997</v>
      </c>
      <c r="N22" s="1">
        <v>268.52</v>
      </c>
      <c r="O22" s="1" t="s">
        <v>23</v>
      </c>
      <c r="P22" s="1">
        <v>30.13</v>
      </c>
    </row>
    <row r="23" spans="1:16" ht="15.75" customHeight="1" x14ac:dyDescent="0.3">
      <c r="A23" s="1" t="s">
        <v>79</v>
      </c>
      <c r="B23" s="2">
        <v>41390</v>
      </c>
      <c r="C23" s="1">
        <v>2013</v>
      </c>
      <c r="D23" s="1" t="s">
        <v>25</v>
      </c>
      <c r="E23" s="1" t="s">
        <v>69</v>
      </c>
      <c r="F23" s="1" t="s">
        <v>19</v>
      </c>
      <c r="G23" s="1" t="s">
        <v>27</v>
      </c>
      <c r="H23" s="1">
        <v>4.93</v>
      </c>
      <c r="I23" s="1">
        <v>7.36</v>
      </c>
      <c r="J23" s="1">
        <v>1491.9</v>
      </c>
      <c r="K23" s="1" t="s">
        <v>34</v>
      </c>
      <c r="L23" s="1" t="s">
        <v>41</v>
      </c>
      <c r="M23" s="1">
        <v>283.68</v>
      </c>
      <c r="N23" s="1">
        <v>404.26</v>
      </c>
      <c r="O23" s="1" t="s">
        <v>70</v>
      </c>
      <c r="P23" s="1">
        <v>23.58</v>
      </c>
    </row>
    <row r="24" spans="1:16" ht="15.75" customHeight="1" x14ac:dyDescent="0.3">
      <c r="A24" s="1" t="s">
        <v>80</v>
      </c>
      <c r="B24" s="2">
        <v>41998</v>
      </c>
      <c r="C24" s="1">
        <v>2014</v>
      </c>
      <c r="D24" s="1" t="s">
        <v>17</v>
      </c>
      <c r="E24" s="1" t="s">
        <v>54</v>
      </c>
      <c r="F24" s="1" t="s">
        <v>38</v>
      </c>
      <c r="G24" s="1" t="s">
        <v>20</v>
      </c>
      <c r="H24" s="1">
        <v>92.97</v>
      </c>
      <c r="I24" s="1">
        <v>614.94000000000005</v>
      </c>
      <c r="J24" s="1">
        <v>6614.41</v>
      </c>
      <c r="K24" s="1" t="s">
        <v>21</v>
      </c>
      <c r="L24" s="1" t="s">
        <v>47</v>
      </c>
      <c r="M24" s="1">
        <v>164.57</v>
      </c>
      <c r="N24" s="1">
        <v>1198.45</v>
      </c>
      <c r="O24" s="1" t="s">
        <v>23</v>
      </c>
      <c r="P24" s="1">
        <v>21.1</v>
      </c>
    </row>
    <row r="25" spans="1:16" ht="15.75" customHeight="1" x14ac:dyDescent="0.3">
      <c r="A25" s="1" t="s">
        <v>81</v>
      </c>
      <c r="B25" s="2">
        <v>42297</v>
      </c>
      <c r="C25" s="1">
        <v>2015</v>
      </c>
      <c r="D25" s="1" t="s">
        <v>31</v>
      </c>
      <c r="E25" s="1" t="s">
        <v>82</v>
      </c>
      <c r="F25" s="1" t="s">
        <v>33</v>
      </c>
      <c r="G25" s="1" t="s">
        <v>56</v>
      </c>
      <c r="H25" s="1">
        <v>37.58</v>
      </c>
      <c r="I25" s="1">
        <v>73.150000000000006</v>
      </c>
      <c r="J25" s="1">
        <v>1946.48</v>
      </c>
      <c r="K25" s="1" t="s">
        <v>34</v>
      </c>
      <c r="L25" s="1" t="s">
        <v>49</v>
      </c>
      <c r="M25" s="1">
        <v>202.92</v>
      </c>
      <c r="N25" s="1">
        <v>1187.23</v>
      </c>
      <c r="O25" s="1" t="s">
        <v>61</v>
      </c>
      <c r="P25" s="1">
        <v>20.12</v>
      </c>
    </row>
    <row r="26" spans="1:16" ht="15.75" customHeight="1" x14ac:dyDescent="0.3">
      <c r="A26" s="1" t="s">
        <v>83</v>
      </c>
      <c r="B26" s="2">
        <v>41281</v>
      </c>
      <c r="C26" s="1">
        <v>2012</v>
      </c>
      <c r="D26" s="1" t="s">
        <v>17</v>
      </c>
      <c r="E26" s="1" t="s">
        <v>18</v>
      </c>
      <c r="F26" s="1" t="s">
        <v>38</v>
      </c>
      <c r="G26" s="1" t="s">
        <v>64</v>
      </c>
      <c r="H26" s="1">
        <v>89.08</v>
      </c>
      <c r="I26" s="1">
        <v>485.89</v>
      </c>
      <c r="J26" s="1">
        <v>5454.5</v>
      </c>
      <c r="K26" s="1" t="s">
        <v>40</v>
      </c>
      <c r="L26" s="1" t="s">
        <v>47</v>
      </c>
      <c r="M26" s="1">
        <v>118.09</v>
      </c>
      <c r="N26" s="1">
        <v>804.83</v>
      </c>
      <c r="O26" s="1" t="s">
        <v>70</v>
      </c>
      <c r="P26" s="1">
        <v>23.05</v>
      </c>
    </row>
    <row r="27" spans="1:16" ht="13" x14ac:dyDescent="0.3">
      <c r="A27" s="1" t="s">
        <v>84</v>
      </c>
      <c r="B27" s="2">
        <v>40443</v>
      </c>
      <c r="C27" s="1">
        <v>2010</v>
      </c>
      <c r="D27" s="1" t="s">
        <v>36</v>
      </c>
      <c r="E27" s="1" t="s">
        <v>51</v>
      </c>
      <c r="F27" s="1" t="s">
        <v>33</v>
      </c>
      <c r="G27" s="1" t="s">
        <v>39</v>
      </c>
      <c r="H27" s="1">
        <v>42.93</v>
      </c>
      <c r="I27" s="1">
        <v>114.2</v>
      </c>
      <c r="J27" s="1">
        <v>2660.08</v>
      </c>
      <c r="K27" s="1" t="s">
        <v>21</v>
      </c>
      <c r="L27" s="1" t="s">
        <v>47</v>
      </c>
      <c r="M27" s="1">
        <v>133.38999999999999</v>
      </c>
      <c r="N27" s="1">
        <v>330.82</v>
      </c>
      <c r="O27" s="1" t="s">
        <v>70</v>
      </c>
      <c r="P27" s="1">
        <v>22.42</v>
      </c>
    </row>
    <row r="28" spans="1:16" ht="13" x14ac:dyDescent="0.3">
      <c r="A28" s="1" t="s">
        <v>85</v>
      </c>
      <c r="B28" s="2">
        <v>43362</v>
      </c>
      <c r="C28" s="1">
        <v>2018</v>
      </c>
      <c r="D28" s="1" t="s">
        <v>17</v>
      </c>
      <c r="E28" s="1" t="s">
        <v>72</v>
      </c>
      <c r="F28" s="1" t="s">
        <v>33</v>
      </c>
      <c r="G28" s="1" t="s">
        <v>64</v>
      </c>
      <c r="H28" s="1">
        <v>8.4499999999999993</v>
      </c>
      <c r="I28" s="1">
        <v>53.22</v>
      </c>
      <c r="J28" s="1">
        <v>6298.64</v>
      </c>
      <c r="K28" s="1" t="s">
        <v>40</v>
      </c>
      <c r="L28" s="1" t="s">
        <v>41</v>
      </c>
      <c r="M28" s="1">
        <v>186.4</v>
      </c>
      <c r="N28" s="1">
        <v>1034.5999999999999</v>
      </c>
      <c r="O28" s="1" t="s">
        <v>61</v>
      </c>
      <c r="P28" s="1">
        <v>28.29</v>
      </c>
    </row>
    <row r="29" spans="1:16" ht="13" x14ac:dyDescent="0.3">
      <c r="A29" s="1" t="s">
        <v>86</v>
      </c>
      <c r="B29" s="2">
        <v>42195</v>
      </c>
      <c r="C29" s="1">
        <v>2015</v>
      </c>
      <c r="D29" s="1" t="s">
        <v>25</v>
      </c>
      <c r="E29" s="1" t="s">
        <v>87</v>
      </c>
      <c r="F29" s="1" t="s">
        <v>33</v>
      </c>
      <c r="G29" s="1" t="s">
        <v>20</v>
      </c>
      <c r="H29" s="1">
        <v>21.8</v>
      </c>
      <c r="I29" s="1">
        <v>54.44</v>
      </c>
      <c r="J29" s="1">
        <v>2497.1799999999998</v>
      </c>
      <c r="K29" s="1" t="s">
        <v>21</v>
      </c>
      <c r="L29" s="1" t="s">
        <v>41</v>
      </c>
      <c r="M29" s="1">
        <v>138.41999999999999</v>
      </c>
      <c r="N29" s="1">
        <v>759.88</v>
      </c>
      <c r="O29" s="1" t="s">
        <v>52</v>
      </c>
      <c r="P29" s="1">
        <v>34.61</v>
      </c>
    </row>
    <row r="30" spans="1:16" ht="13" x14ac:dyDescent="0.3">
      <c r="A30" s="1" t="s">
        <v>88</v>
      </c>
      <c r="B30" s="2">
        <v>44740</v>
      </c>
      <c r="C30" s="1">
        <v>2022</v>
      </c>
      <c r="D30" s="1" t="s">
        <v>44</v>
      </c>
      <c r="E30" s="1" t="s">
        <v>45</v>
      </c>
      <c r="F30" s="1" t="s">
        <v>33</v>
      </c>
      <c r="G30" s="1" t="s">
        <v>46</v>
      </c>
      <c r="H30" s="1">
        <v>3.45</v>
      </c>
      <c r="I30" s="1">
        <v>18.7</v>
      </c>
      <c r="J30" s="1">
        <v>5419.39</v>
      </c>
      <c r="K30" s="1" t="s">
        <v>34</v>
      </c>
      <c r="L30" s="1" t="s">
        <v>29</v>
      </c>
      <c r="M30" s="1">
        <v>245.6</v>
      </c>
      <c r="N30" s="1">
        <v>611.71</v>
      </c>
      <c r="O30" s="1" t="s">
        <v>42</v>
      </c>
      <c r="P30" s="1">
        <v>24</v>
      </c>
    </row>
    <row r="31" spans="1:16" ht="13" x14ac:dyDescent="0.3">
      <c r="A31" s="1" t="s">
        <v>89</v>
      </c>
      <c r="B31" s="2">
        <v>42936</v>
      </c>
      <c r="C31" s="1">
        <v>2017</v>
      </c>
      <c r="D31" s="1" t="s">
        <v>44</v>
      </c>
      <c r="E31" s="1" t="s">
        <v>45</v>
      </c>
      <c r="F31" s="1" t="s">
        <v>33</v>
      </c>
      <c r="G31" s="1" t="s">
        <v>56</v>
      </c>
      <c r="H31" s="1">
        <v>81.84</v>
      </c>
      <c r="I31" s="1">
        <v>307.87</v>
      </c>
      <c r="J31" s="1">
        <v>3761.82</v>
      </c>
      <c r="K31" s="1" t="s">
        <v>34</v>
      </c>
      <c r="L31" s="1" t="s">
        <v>29</v>
      </c>
      <c r="M31" s="1">
        <v>255.13</v>
      </c>
      <c r="N31" s="1">
        <v>1071.32</v>
      </c>
      <c r="O31" s="1" t="s">
        <v>42</v>
      </c>
      <c r="P31" s="1">
        <v>20.350000000000001</v>
      </c>
    </row>
    <row r="32" spans="1:16" ht="13" x14ac:dyDescent="0.3">
      <c r="A32" s="1" t="s">
        <v>90</v>
      </c>
      <c r="B32" s="2">
        <v>40915</v>
      </c>
      <c r="C32" s="1">
        <v>2011</v>
      </c>
      <c r="D32" s="1" t="s">
        <v>31</v>
      </c>
      <c r="E32" s="1" t="s">
        <v>32</v>
      </c>
      <c r="F32" s="1" t="s">
        <v>38</v>
      </c>
      <c r="G32" s="1" t="s">
        <v>20</v>
      </c>
      <c r="H32" s="1">
        <v>64.510000000000005</v>
      </c>
      <c r="I32" s="1">
        <v>219.21</v>
      </c>
      <c r="J32" s="1">
        <v>3398.07</v>
      </c>
      <c r="K32" s="1" t="s">
        <v>34</v>
      </c>
      <c r="L32" s="1" t="s">
        <v>22</v>
      </c>
      <c r="M32" s="1">
        <v>284.81</v>
      </c>
      <c r="N32" s="1">
        <v>315.33999999999997</v>
      </c>
      <c r="O32" s="1" t="s">
        <v>70</v>
      </c>
      <c r="P32" s="1">
        <v>22.68</v>
      </c>
    </row>
    <row r="33" spans="1:16" ht="13" x14ac:dyDescent="0.3">
      <c r="A33" s="1" t="s">
        <v>91</v>
      </c>
      <c r="B33" s="2">
        <v>42786</v>
      </c>
      <c r="C33" s="1">
        <v>2016</v>
      </c>
      <c r="D33" s="1" t="s">
        <v>25</v>
      </c>
      <c r="E33" s="1" t="s">
        <v>69</v>
      </c>
      <c r="F33" s="1" t="s">
        <v>38</v>
      </c>
      <c r="G33" s="1" t="s">
        <v>39</v>
      </c>
      <c r="H33" s="1">
        <v>78.86</v>
      </c>
      <c r="I33" s="1">
        <v>285.33999999999997</v>
      </c>
      <c r="J33" s="1">
        <v>3618.36</v>
      </c>
      <c r="K33" s="1" t="s">
        <v>21</v>
      </c>
      <c r="L33" s="1" t="s">
        <v>22</v>
      </c>
      <c r="M33" s="1">
        <v>146.30000000000001</v>
      </c>
      <c r="N33" s="1">
        <v>776.59</v>
      </c>
      <c r="O33" s="1" t="s">
        <v>70</v>
      </c>
      <c r="P33" s="1">
        <v>20.67</v>
      </c>
    </row>
    <row r="34" spans="1:16" ht="13" x14ac:dyDescent="0.3">
      <c r="A34" s="1" t="s">
        <v>92</v>
      </c>
      <c r="B34" s="2">
        <v>43964</v>
      </c>
      <c r="C34" s="1">
        <v>2020</v>
      </c>
      <c r="D34" s="1" t="s">
        <v>59</v>
      </c>
      <c r="E34" s="1" t="s">
        <v>93</v>
      </c>
      <c r="F34" s="1" t="s">
        <v>19</v>
      </c>
      <c r="G34" s="1" t="s">
        <v>39</v>
      </c>
      <c r="H34" s="1">
        <v>73.97</v>
      </c>
      <c r="I34" s="1">
        <v>161.41999999999999</v>
      </c>
      <c r="J34" s="1">
        <v>2182.21</v>
      </c>
      <c r="K34" s="1" t="s">
        <v>28</v>
      </c>
      <c r="L34" s="1" t="s">
        <v>22</v>
      </c>
      <c r="M34" s="1">
        <v>67.489999999999995</v>
      </c>
      <c r="N34" s="1">
        <v>864.24</v>
      </c>
      <c r="O34" s="1" t="s">
        <v>70</v>
      </c>
      <c r="P34" s="1">
        <v>29.35</v>
      </c>
    </row>
    <row r="35" spans="1:16" ht="13" x14ac:dyDescent="0.3">
      <c r="A35" s="1" t="s">
        <v>94</v>
      </c>
      <c r="B35" s="2">
        <v>43449</v>
      </c>
      <c r="C35" s="1">
        <v>2018</v>
      </c>
      <c r="D35" s="1" t="s">
        <v>17</v>
      </c>
      <c r="E35" s="1" t="s">
        <v>72</v>
      </c>
      <c r="F35" s="1" t="s">
        <v>38</v>
      </c>
      <c r="G35" s="1" t="s">
        <v>39</v>
      </c>
      <c r="H35" s="1">
        <v>41.43</v>
      </c>
      <c r="I35" s="1">
        <v>141.46</v>
      </c>
      <c r="J35" s="1">
        <v>3414.4</v>
      </c>
      <c r="K35" s="1" t="s">
        <v>34</v>
      </c>
      <c r="L35" s="1" t="s">
        <v>47</v>
      </c>
      <c r="M35" s="1">
        <v>188.6</v>
      </c>
      <c r="N35" s="1">
        <v>391.84</v>
      </c>
      <c r="O35" s="1" t="s">
        <v>52</v>
      </c>
      <c r="P35" s="1">
        <v>30.16</v>
      </c>
    </row>
    <row r="36" spans="1:16" ht="13" x14ac:dyDescent="0.3">
      <c r="A36" s="1" t="s">
        <v>95</v>
      </c>
      <c r="B36" s="2">
        <v>42511</v>
      </c>
      <c r="C36" s="1">
        <v>2016</v>
      </c>
      <c r="D36" s="1" t="s">
        <v>59</v>
      </c>
      <c r="E36" s="1" t="s">
        <v>63</v>
      </c>
      <c r="F36" s="1" t="s">
        <v>19</v>
      </c>
      <c r="G36" s="1" t="s">
        <v>64</v>
      </c>
      <c r="H36" s="1">
        <v>31.08</v>
      </c>
      <c r="I36" s="1">
        <v>70.27</v>
      </c>
      <c r="J36" s="1">
        <v>2261.1</v>
      </c>
      <c r="K36" s="1" t="s">
        <v>34</v>
      </c>
      <c r="L36" s="1" t="s">
        <v>41</v>
      </c>
      <c r="M36" s="1">
        <v>166.25</v>
      </c>
      <c r="N36" s="1">
        <v>642.16</v>
      </c>
      <c r="O36" s="1" t="s">
        <v>42</v>
      </c>
      <c r="P36" s="1">
        <v>27.67</v>
      </c>
    </row>
    <row r="37" spans="1:16" ht="13" x14ac:dyDescent="0.3">
      <c r="A37" s="1" t="s">
        <v>96</v>
      </c>
      <c r="B37" s="2">
        <v>41732</v>
      </c>
      <c r="C37" s="1">
        <v>2014</v>
      </c>
      <c r="D37" s="1" t="s">
        <v>17</v>
      </c>
      <c r="E37" s="1" t="s">
        <v>18</v>
      </c>
      <c r="F37" s="1" t="s">
        <v>19</v>
      </c>
      <c r="G37" s="1" t="s">
        <v>39</v>
      </c>
      <c r="H37" s="1">
        <v>63.66</v>
      </c>
      <c r="I37" s="1">
        <v>191.69</v>
      </c>
      <c r="J37" s="1">
        <v>3011.13</v>
      </c>
      <c r="K37" s="1" t="s">
        <v>40</v>
      </c>
      <c r="L37" s="1" t="s">
        <v>41</v>
      </c>
      <c r="M37" s="1">
        <v>218.2</v>
      </c>
      <c r="N37" s="1">
        <v>424.64</v>
      </c>
      <c r="O37" s="1" t="s">
        <v>42</v>
      </c>
      <c r="P37" s="1">
        <v>22.21</v>
      </c>
    </row>
    <row r="38" spans="1:16" ht="13" x14ac:dyDescent="0.3">
      <c r="A38" s="1" t="s">
        <v>97</v>
      </c>
      <c r="B38" s="2">
        <v>44714</v>
      </c>
      <c r="C38" s="1">
        <v>2022</v>
      </c>
      <c r="D38" s="1" t="s">
        <v>36</v>
      </c>
      <c r="E38" s="1" t="s">
        <v>77</v>
      </c>
      <c r="F38" s="1" t="s">
        <v>33</v>
      </c>
      <c r="G38" s="1" t="s">
        <v>46</v>
      </c>
      <c r="H38" s="1">
        <v>42.03</v>
      </c>
      <c r="I38" s="1">
        <v>200.84</v>
      </c>
      <c r="J38" s="1">
        <v>4778.59</v>
      </c>
      <c r="K38" s="1" t="s">
        <v>40</v>
      </c>
      <c r="L38" s="1" t="s">
        <v>22</v>
      </c>
      <c r="M38" s="1">
        <v>229.59</v>
      </c>
      <c r="N38" s="1">
        <v>583.98</v>
      </c>
      <c r="O38" s="1" t="s">
        <v>52</v>
      </c>
      <c r="P38" s="1">
        <v>23.66</v>
      </c>
    </row>
    <row r="39" spans="1:16" ht="13" x14ac:dyDescent="0.3">
      <c r="A39" s="1" t="s">
        <v>98</v>
      </c>
      <c r="B39" s="2">
        <v>41561</v>
      </c>
      <c r="C39" s="1">
        <v>2013</v>
      </c>
      <c r="D39" s="1" t="s">
        <v>44</v>
      </c>
      <c r="E39" s="1" t="s">
        <v>99</v>
      </c>
      <c r="F39" s="1" t="s">
        <v>33</v>
      </c>
      <c r="G39" s="1" t="s">
        <v>39</v>
      </c>
      <c r="H39" s="1">
        <v>52.28</v>
      </c>
      <c r="I39" s="1">
        <v>68.03</v>
      </c>
      <c r="J39" s="1">
        <v>1301.31</v>
      </c>
      <c r="K39" s="1" t="s">
        <v>40</v>
      </c>
      <c r="L39" s="1" t="s">
        <v>47</v>
      </c>
      <c r="M39" s="1">
        <v>279.37</v>
      </c>
      <c r="N39" s="1">
        <v>321.36</v>
      </c>
      <c r="O39" s="1" t="s">
        <v>42</v>
      </c>
      <c r="P39" s="1">
        <v>32.020000000000003</v>
      </c>
    </row>
    <row r="40" spans="1:16" ht="13" x14ac:dyDescent="0.3">
      <c r="A40" s="1" t="s">
        <v>100</v>
      </c>
      <c r="B40" s="2">
        <v>44987</v>
      </c>
      <c r="C40" s="1">
        <v>2022</v>
      </c>
      <c r="D40" s="1" t="s">
        <v>59</v>
      </c>
      <c r="E40" s="1" t="s">
        <v>63</v>
      </c>
      <c r="F40" s="1" t="s">
        <v>38</v>
      </c>
      <c r="G40" s="1" t="s">
        <v>27</v>
      </c>
      <c r="H40" s="1">
        <v>81.69</v>
      </c>
      <c r="I40" s="1">
        <v>518.9</v>
      </c>
      <c r="J40" s="1">
        <v>6352.12</v>
      </c>
      <c r="K40" s="1" t="s">
        <v>28</v>
      </c>
      <c r="L40" s="1" t="s">
        <v>29</v>
      </c>
      <c r="M40" s="1">
        <v>257.64</v>
      </c>
      <c r="N40" s="1">
        <v>747.87</v>
      </c>
      <c r="O40" s="1" t="s">
        <v>42</v>
      </c>
      <c r="P40" s="1">
        <v>31.15</v>
      </c>
    </row>
    <row r="41" spans="1:16" ht="13" x14ac:dyDescent="0.3">
      <c r="A41" s="1" t="s">
        <v>101</v>
      </c>
      <c r="B41" s="2">
        <v>44274</v>
      </c>
      <c r="C41" s="1">
        <v>2020</v>
      </c>
      <c r="D41" s="1" t="s">
        <v>31</v>
      </c>
      <c r="E41" s="1" t="s">
        <v>82</v>
      </c>
      <c r="F41" s="1" t="s">
        <v>38</v>
      </c>
      <c r="G41" s="1" t="s">
        <v>27</v>
      </c>
      <c r="H41" s="1">
        <v>48.98</v>
      </c>
      <c r="I41" s="1">
        <v>119.29</v>
      </c>
      <c r="J41" s="1">
        <v>2435.48</v>
      </c>
      <c r="K41" s="1" t="s">
        <v>28</v>
      </c>
      <c r="L41" s="1" t="s">
        <v>22</v>
      </c>
      <c r="M41" s="1">
        <v>69.37</v>
      </c>
      <c r="N41" s="1">
        <v>485.73</v>
      </c>
      <c r="O41" s="1" t="s">
        <v>70</v>
      </c>
      <c r="P41" s="1">
        <v>25.04</v>
      </c>
    </row>
    <row r="42" spans="1:16" ht="13" x14ac:dyDescent="0.3">
      <c r="A42" s="1" t="s">
        <v>102</v>
      </c>
      <c r="B42" s="2">
        <v>41686</v>
      </c>
      <c r="C42" s="1">
        <v>2013</v>
      </c>
      <c r="D42" s="1" t="s">
        <v>103</v>
      </c>
      <c r="E42" s="1" t="s">
        <v>104</v>
      </c>
      <c r="F42" s="1" t="s">
        <v>38</v>
      </c>
      <c r="G42" s="1" t="s">
        <v>39</v>
      </c>
      <c r="H42" s="1">
        <v>16.13</v>
      </c>
      <c r="I42" s="1">
        <v>36.840000000000003</v>
      </c>
      <c r="J42" s="1">
        <v>2283.7199999999998</v>
      </c>
      <c r="K42" s="1" t="s">
        <v>28</v>
      </c>
      <c r="L42" s="1" t="s">
        <v>29</v>
      </c>
      <c r="M42" s="1">
        <v>151.9</v>
      </c>
      <c r="N42" s="1">
        <v>742.61</v>
      </c>
      <c r="O42" s="1" t="s">
        <v>52</v>
      </c>
      <c r="P42" s="1">
        <v>20.93</v>
      </c>
    </row>
    <row r="43" spans="1:16" ht="13" x14ac:dyDescent="0.3">
      <c r="A43" s="1" t="s">
        <v>105</v>
      </c>
      <c r="B43" s="2">
        <v>44487</v>
      </c>
      <c r="C43" s="1">
        <v>2021</v>
      </c>
      <c r="D43" s="1" t="s">
        <v>44</v>
      </c>
      <c r="E43" s="1" t="s">
        <v>67</v>
      </c>
      <c r="F43" s="1" t="s">
        <v>33</v>
      </c>
      <c r="G43" s="1" t="s">
        <v>27</v>
      </c>
      <c r="H43" s="1">
        <v>38.659999999999997</v>
      </c>
      <c r="I43" s="1">
        <v>40.03</v>
      </c>
      <c r="J43" s="1">
        <v>1035.3800000000001</v>
      </c>
      <c r="K43" s="1" t="s">
        <v>34</v>
      </c>
      <c r="L43" s="1" t="s">
        <v>47</v>
      </c>
      <c r="M43" s="1">
        <v>124.65</v>
      </c>
      <c r="N43" s="1">
        <v>589.99</v>
      </c>
      <c r="O43" s="1" t="s">
        <v>52</v>
      </c>
      <c r="P43" s="1">
        <v>28.07</v>
      </c>
    </row>
    <row r="44" spans="1:16" ht="13" x14ac:dyDescent="0.3">
      <c r="A44" s="1" t="s">
        <v>106</v>
      </c>
      <c r="B44" s="2">
        <v>41715</v>
      </c>
      <c r="C44" s="1">
        <v>2013</v>
      </c>
      <c r="D44" s="1" t="s">
        <v>103</v>
      </c>
      <c r="E44" s="1" t="s">
        <v>107</v>
      </c>
      <c r="F44" s="1" t="s">
        <v>38</v>
      </c>
      <c r="G44" s="1" t="s">
        <v>46</v>
      </c>
      <c r="H44" s="1">
        <v>49.08</v>
      </c>
      <c r="I44" s="1">
        <v>163.59</v>
      </c>
      <c r="J44" s="1">
        <v>3333.14</v>
      </c>
      <c r="K44" s="1" t="s">
        <v>28</v>
      </c>
      <c r="L44" s="1" t="s">
        <v>22</v>
      </c>
      <c r="M44" s="1">
        <v>231.05</v>
      </c>
      <c r="N44" s="1">
        <v>1040.51</v>
      </c>
      <c r="O44" s="1" t="s">
        <v>42</v>
      </c>
      <c r="P44" s="1">
        <v>34.71</v>
      </c>
    </row>
    <row r="45" spans="1:16" ht="13" x14ac:dyDescent="0.3">
      <c r="A45" s="1" t="s">
        <v>108</v>
      </c>
      <c r="B45" s="2">
        <v>43576</v>
      </c>
      <c r="C45" s="1">
        <v>2019</v>
      </c>
      <c r="D45" s="1" t="s">
        <v>36</v>
      </c>
      <c r="E45" s="1" t="s">
        <v>77</v>
      </c>
      <c r="F45" s="1" t="s">
        <v>19</v>
      </c>
      <c r="G45" s="1" t="s">
        <v>64</v>
      </c>
      <c r="H45" s="1">
        <v>9.31</v>
      </c>
      <c r="I45" s="1">
        <v>33.25</v>
      </c>
      <c r="J45" s="1">
        <v>3571.68</v>
      </c>
      <c r="K45" s="1" t="s">
        <v>28</v>
      </c>
      <c r="L45" s="1" t="s">
        <v>49</v>
      </c>
      <c r="M45" s="1">
        <v>95.43</v>
      </c>
      <c r="N45" s="1">
        <v>460.16</v>
      </c>
      <c r="O45" s="1" t="s">
        <v>70</v>
      </c>
      <c r="P45" s="1">
        <v>23.17</v>
      </c>
    </row>
    <row r="46" spans="1:16" ht="13" x14ac:dyDescent="0.3">
      <c r="A46" s="1" t="s">
        <v>109</v>
      </c>
      <c r="B46" s="2">
        <v>41954</v>
      </c>
      <c r="C46" s="1">
        <v>2014</v>
      </c>
      <c r="D46" s="1" t="s">
        <v>44</v>
      </c>
      <c r="E46" s="1" t="s">
        <v>99</v>
      </c>
      <c r="F46" s="1" t="s">
        <v>38</v>
      </c>
      <c r="G46" s="1" t="s">
        <v>20</v>
      </c>
      <c r="H46" s="1">
        <v>83.66</v>
      </c>
      <c r="I46" s="1">
        <v>319.74</v>
      </c>
      <c r="J46" s="1">
        <v>3821.84</v>
      </c>
      <c r="K46" s="1" t="s">
        <v>21</v>
      </c>
      <c r="L46" s="1" t="s">
        <v>22</v>
      </c>
      <c r="M46" s="1">
        <v>299.98</v>
      </c>
      <c r="N46" s="1">
        <v>549.96</v>
      </c>
      <c r="O46" s="1" t="s">
        <v>23</v>
      </c>
      <c r="P46" s="1">
        <v>31.72</v>
      </c>
    </row>
    <row r="47" spans="1:16" ht="13" x14ac:dyDescent="0.3">
      <c r="A47" s="1" t="s">
        <v>110</v>
      </c>
      <c r="B47" s="2">
        <v>40279</v>
      </c>
      <c r="C47" s="1">
        <v>2010</v>
      </c>
      <c r="D47" s="1" t="s">
        <v>103</v>
      </c>
      <c r="E47" s="1" t="s">
        <v>104</v>
      </c>
      <c r="F47" s="1" t="s">
        <v>19</v>
      </c>
      <c r="G47" s="1" t="s">
        <v>56</v>
      </c>
      <c r="H47" s="1">
        <v>24.62</v>
      </c>
      <c r="I47" s="1">
        <v>94.57</v>
      </c>
      <c r="J47" s="1">
        <v>3841.37</v>
      </c>
      <c r="K47" s="1" t="s">
        <v>21</v>
      </c>
      <c r="L47" s="1" t="s">
        <v>47</v>
      </c>
      <c r="M47" s="1">
        <v>190.99</v>
      </c>
      <c r="N47" s="1">
        <v>417.96</v>
      </c>
      <c r="O47" s="1" t="s">
        <v>70</v>
      </c>
      <c r="P47" s="1">
        <v>31.5</v>
      </c>
    </row>
    <row r="48" spans="1:16" ht="13" x14ac:dyDescent="0.3">
      <c r="A48" s="1" t="s">
        <v>111</v>
      </c>
      <c r="B48" s="2">
        <v>44398</v>
      </c>
      <c r="C48" s="1">
        <v>2021</v>
      </c>
      <c r="D48" s="1" t="s">
        <v>59</v>
      </c>
      <c r="E48" s="1" t="s">
        <v>93</v>
      </c>
      <c r="F48" s="1" t="s">
        <v>33</v>
      </c>
      <c r="G48" s="1" t="s">
        <v>56</v>
      </c>
      <c r="H48" s="1">
        <v>96.51</v>
      </c>
      <c r="I48" s="1">
        <v>159.11000000000001</v>
      </c>
      <c r="J48" s="1">
        <v>1648.59</v>
      </c>
      <c r="K48" s="1" t="s">
        <v>21</v>
      </c>
      <c r="L48" s="1" t="s">
        <v>22</v>
      </c>
      <c r="M48" s="1">
        <v>282.22000000000003</v>
      </c>
      <c r="N48" s="1">
        <v>775.8</v>
      </c>
      <c r="O48" s="1" t="s">
        <v>52</v>
      </c>
      <c r="P48" s="1">
        <v>25.95</v>
      </c>
    </row>
    <row r="49" spans="1:16" ht="13" x14ac:dyDescent="0.3">
      <c r="A49" s="1" t="s">
        <v>112</v>
      </c>
      <c r="B49" s="2">
        <v>44092</v>
      </c>
      <c r="C49" s="1">
        <v>2020</v>
      </c>
      <c r="D49" s="1" t="s">
        <v>59</v>
      </c>
      <c r="E49" s="1" t="s">
        <v>93</v>
      </c>
      <c r="F49" s="1" t="s">
        <v>33</v>
      </c>
      <c r="G49" s="1" t="s">
        <v>64</v>
      </c>
      <c r="H49" s="1">
        <v>70.02</v>
      </c>
      <c r="I49" s="1">
        <v>196.72</v>
      </c>
      <c r="J49" s="1">
        <v>2809.5</v>
      </c>
      <c r="K49" s="1" t="s">
        <v>21</v>
      </c>
      <c r="L49" s="1" t="s">
        <v>49</v>
      </c>
      <c r="M49" s="1">
        <v>249.06</v>
      </c>
      <c r="N49" s="1">
        <v>765.93</v>
      </c>
      <c r="O49" s="1" t="s">
        <v>23</v>
      </c>
      <c r="P49" s="1">
        <v>25.21</v>
      </c>
    </row>
    <row r="50" spans="1:16" ht="13" x14ac:dyDescent="0.3">
      <c r="A50" s="1" t="s">
        <v>113</v>
      </c>
      <c r="B50" s="2">
        <v>44247</v>
      </c>
      <c r="C50" s="1">
        <v>2020</v>
      </c>
      <c r="D50" s="1" t="s">
        <v>25</v>
      </c>
      <c r="E50" s="1" t="s">
        <v>69</v>
      </c>
      <c r="F50" s="1" t="s">
        <v>38</v>
      </c>
      <c r="G50" s="1" t="s">
        <v>64</v>
      </c>
      <c r="H50" s="1">
        <v>85.11</v>
      </c>
      <c r="I50" s="1">
        <v>505.04</v>
      </c>
      <c r="J50" s="1">
        <v>5933.99</v>
      </c>
      <c r="K50" s="1" t="s">
        <v>21</v>
      </c>
      <c r="L50" s="1" t="s">
        <v>41</v>
      </c>
      <c r="M50" s="1">
        <v>158.38</v>
      </c>
      <c r="N50" s="1">
        <v>562.19000000000005</v>
      </c>
      <c r="O50" s="1" t="s">
        <v>52</v>
      </c>
      <c r="P50" s="1">
        <v>30.61</v>
      </c>
    </row>
    <row r="51" spans="1:16" ht="13" x14ac:dyDescent="0.3">
      <c r="A51" s="1" t="s">
        <v>114</v>
      </c>
      <c r="B51" s="2">
        <v>44198</v>
      </c>
      <c r="C51" s="1">
        <v>2020</v>
      </c>
      <c r="D51" s="1" t="s">
        <v>17</v>
      </c>
      <c r="E51" s="1" t="s">
        <v>54</v>
      </c>
      <c r="F51" s="1" t="s">
        <v>38</v>
      </c>
      <c r="G51" s="1" t="s">
        <v>27</v>
      </c>
      <c r="H51" s="1">
        <v>81.010000000000005</v>
      </c>
      <c r="I51" s="1">
        <v>342.59</v>
      </c>
      <c r="J51" s="1">
        <v>4229.04</v>
      </c>
      <c r="K51" s="1" t="s">
        <v>28</v>
      </c>
      <c r="L51" s="1" t="s">
        <v>22</v>
      </c>
      <c r="M51" s="1">
        <v>166.22</v>
      </c>
      <c r="N51" s="1">
        <v>1025.73</v>
      </c>
      <c r="O51" s="1" t="s">
        <v>61</v>
      </c>
      <c r="P51" s="1">
        <v>24.03</v>
      </c>
    </row>
    <row r="52" spans="1:16" ht="13" x14ac:dyDescent="0.3">
      <c r="A52" s="1" t="s">
        <v>115</v>
      </c>
      <c r="B52" s="2">
        <v>41645</v>
      </c>
      <c r="C52" s="1">
        <v>2013</v>
      </c>
      <c r="D52" s="1" t="s">
        <v>31</v>
      </c>
      <c r="E52" s="1" t="s">
        <v>32</v>
      </c>
      <c r="F52" s="1" t="s">
        <v>38</v>
      </c>
      <c r="G52" s="1" t="s">
        <v>27</v>
      </c>
      <c r="H52" s="1">
        <v>61.42</v>
      </c>
      <c r="I52" s="1">
        <v>201.09</v>
      </c>
      <c r="J52" s="1">
        <v>3273.94</v>
      </c>
      <c r="K52" s="1" t="s">
        <v>21</v>
      </c>
      <c r="L52" s="1" t="s">
        <v>49</v>
      </c>
      <c r="M52" s="1">
        <v>173.58</v>
      </c>
      <c r="N52" s="1">
        <v>525.01</v>
      </c>
      <c r="O52" s="1" t="s">
        <v>52</v>
      </c>
      <c r="P52" s="1">
        <v>23.18</v>
      </c>
    </row>
    <row r="53" spans="1:16" ht="13" x14ac:dyDescent="0.3">
      <c r="A53" s="1" t="s">
        <v>116</v>
      </c>
      <c r="B53" s="2">
        <v>44622</v>
      </c>
      <c r="C53" s="1">
        <v>2021</v>
      </c>
      <c r="D53" s="1" t="s">
        <v>31</v>
      </c>
      <c r="E53" s="1" t="s">
        <v>117</v>
      </c>
      <c r="F53" s="1" t="s">
        <v>38</v>
      </c>
      <c r="G53" s="1" t="s">
        <v>27</v>
      </c>
      <c r="H53" s="1">
        <v>2</v>
      </c>
      <c r="I53" s="1">
        <v>13.38</v>
      </c>
      <c r="J53" s="1">
        <v>6688.38</v>
      </c>
      <c r="K53" s="1" t="s">
        <v>21</v>
      </c>
      <c r="L53" s="1" t="s">
        <v>29</v>
      </c>
      <c r="M53" s="1">
        <v>110.34</v>
      </c>
      <c r="N53" s="1">
        <v>606.42999999999995</v>
      </c>
      <c r="O53" s="1" t="s">
        <v>61</v>
      </c>
      <c r="P53" s="1">
        <v>31.37</v>
      </c>
    </row>
    <row r="54" spans="1:16" ht="13" x14ac:dyDescent="0.3">
      <c r="A54" s="1" t="s">
        <v>118</v>
      </c>
      <c r="B54" s="2">
        <v>40988</v>
      </c>
      <c r="C54" s="1">
        <v>2011</v>
      </c>
      <c r="D54" s="1" t="s">
        <v>36</v>
      </c>
      <c r="E54" s="1" t="s">
        <v>37</v>
      </c>
      <c r="F54" s="1" t="s">
        <v>38</v>
      </c>
      <c r="G54" s="1" t="s">
        <v>56</v>
      </c>
      <c r="H54" s="1">
        <v>41.04</v>
      </c>
      <c r="I54" s="1">
        <v>100.95</v>
      </c>
      <c r="J54" s="1">
        <v>2459.83</v>
      </c>
      <c r="K54" s="1" t="s">
        <v>34</v>
      </c>
      <c r="L54" s="1" t="s">
        <v>49</v>
      </c>
      <c r="M54" s="1">
        <v>168.32</v>
      </c>
      <c r="N54" s="1">
        <v>730.92</v>
      </c>
      <c r="O54" s="1" t="s">
        <v>52</v>
      </c>
      <c r="P54" s="1">
        <v>34.950000000000003</v>
      </c>
    </row>
    <row r="55" spans="1:16" ht="13" x14ac:dyDescent="0.3">
      <c r="A55" s="1" t="s">
        <v>119</v>
      </c>
      <c r="B55" s="2">
        <v>43163</v>
      </c>
      <c r="C55" s="1">
        <v>2017</v>
      </c>
      <c r="D55" s="1" t="s">
        <v>31</v>
      </c>
      <c r="E55" s="1" t="s">
        <v>117</v>
      </c>
      <c r="F55" s="1" t="s">
        <v>38</v>
      </c>
      <c r="G55" s="1" t="s">
        <v>20</v>
      </c>
      <c r="H55" s="1">
        <v>25.89</v>
      </c>
      <c r="I55" s="1">
        <v>44.63</v>
      </c>
      <c r="J55" s="1">
        <v>1723.94</v>
      </c>
      <c r="K55" s="1" t="s">
        <v>40</v>
      </c>
      <c r="L55" s="1" t="s">
        <v>49</v>
      </c>
      <c r="M55" s="1">
        <v>128.88999999999999</v>
      </c>
      <c r="N55" s="1">
        <v>942.88</v>
      </c>
      <c r="O55" s="1" t="s">
        <v>42</v>
      </c>
      <c r="P55" s="1">
        <v>22.87</v>
      </c>
    </row>
    <row r="56" spans="1:16" ht="13" x14ac:dyDescent="0.3">
      <c r="A56" s="1" t="s">
        <v>120</v>
      </c>
      <c r="B56" s="2">
        <v>44686</v>
      </c>
      <c r="C56" s="1">
        <v>2022</v>
      </c>
      <c r="D56" s="1" t="s">
        <v>17</v>
      </c>
      <c r="E56" s="1" t="s">
        <v>54</v>
      </c>
      <c r="F56" s="1" t="s">
        <v>19</v>
      </c>
      <c r="G56" s="1" t="s">
        <v>27</v>
      </c>
      <c r="H56" s="1">
        <v>29.02</v>
      </c>
      <c r="I56" s="1">
        <v>46.52</v>
      </c>
      <c r="J56" s="1">
        <v>1603.16</v>
      </c>
      <c r="K56" s="1" t="s">
        <v>40</v>
      </c>
      <c r="L56" s="1" t="s">
        <v>41</v>
      </c>
      <c r="M56" s="1">
        <v>124.06</v>
      </c>
      <c r="N56" s="1">
        <v>560.88</v>
      </c>
      <c r="O56" s="1" t="s">
        <v>70</v>
      </c>
      <c r="P56" s="1">
        <v>20.21</v>
      </c>
    </row>
    <row r="57" spans="1:16" ht="13" x14ac:dyDescent="0.3">
      <c r="A57" s="1" t="s">
        <v>121</v>
      </c>
      <c r="B57" s="2">
        <v>40297</v>
      </c>
      <c r="C57" s="1">
        <v>2010</v>
      </c>
      <c r="D57" s="1" t="s">
        <v>31</v>
      </c>
      <c r="E57" s="1" t="s">
        <v>82</v>
      </c>
      <c r="F57" s="1" t="s">
        <v>19</v>
      </c>
      <c r="G57" s="1" t="s">
        <v>20</v>
      </c>
      <c r="H57" s="1">
        <v>70.040000000000006</v>
      </c>
      <c r="I57" s="1">
        <v>123.11</v>
      </c>
      <c r="J57" s="1">
        <v>1757.68</v>
      </c>
      <c r="K57" s="1" t="s">
        <v>28</v>
      </c>
      <c r="L57" s="1" t="s">
        <v>49</v>
      </c>
      <c r="M57" s="1">
        <v>75.650000000000006</v>
      </c>
      <c r="N57" s="1">
        <v>212.27</v>
      </c>
      <c r="O57" s="1" t="s">
        <v>70</v>
      </c>
      <c r="P57" s="1">
        <v>27.04</v>
      </c>
    </row>
    <row r="58" spans="1:16" ht="13" x14ac:dyDescent="0.3">
      <c r="A58" s="1" t="s">
        <v>122</v>
      </c>
      <c r="B58" s="2">
        <v>42088</v>
      </c>
      <c r="C58" s="1">
        <v>2014</v>
      </c>
      <c r="D58" s="1" t="s">
        <v>103</v>
      </c>
      <c r="E58" s="1" t="s">
        <v>104</v>
      </c>
      <c r="F58" s="1" t="s">
        <v>38</v>
      </c>
      <c r="G58" s="1" t="s">
        <v>64</v>
      </c>
      <c r="H58" s="1">
        <v>82.39</v>
      </c>
      <c r="I58" s="1">
        <v>280.48</v>
      </c>
      <c r="J58" s="1">
        <v>3404.24</v>
      </c>
      <c r="K58" s="1" t="s">
        <v>21</v>
      </c>
      <c r="L58" s="1" t="s">
        <v>49</v>
      </c>
      <c r="M58" s="1">
        <v>194.26</v>
      </c>
      <c r="N58" s="1">
        <v>886.45</v>
      </c>
      <c r="O58" s="1" t="s">
        <v>42</v>
      </c>
      <c r="P58" s="1">
        <v>22.24</v>
      </c>
    </row>
    <row r="59" spans="1:16" ht="13" x14ac:dyDescent="0.3">
      <c r="A59" s="1" t="s">
        <v>123</v>
      </c>
      <c r="B59" s="2">
        <v>40671</v>
      </c>
      <c r="C59" s="1">
        <v>2011</v>
      </c>
      <c r="D59" s="1" t="s">
        <v>25</v>
      </c>
      <c r="E59" s="1" t="s">
        <v>26</v>
      </c>
      <c r="F59" s="1" t="s">
        <v>19</v>
      </c>
      <c r="G59" s="1" t="s">
        <v>46</v>
      </c>
      <c r="H59" s="1">
        <v>61.03</v>
      </c>
      <c r="I59" s="1">
        <v>350.58</v>
      </c>
      <c r="J59" s="1">
        <v>5744.44</v>
      </c>
      <c r="K59" s="1" t="s">
        <v>40</v>
      </c>
      <c r="L59" s="1" t="s">
        <v>29</v>
      </c>
      <c r="M59" s="1">
        <v>243.92</v>
      </c>
      <c r="N59" s="1">
        <v>580.38</v>
      </c>
      <c r="O59" s="1" t="s">
        <v>52</v>
      </c>
      <c r="P59" s="1">
        <v>24.46</v>
      </c>
    </row>
    <row r="60" spans="1:16" ht="13" x14ac:dyDescent="0.3">
      <c r="A60" s="1" t="s">
        <v>124</v>
      </c>
      <c r="B60" s="2">
        <v>43661</v>
      </c>
      <c r="C60" s="1">
        <v>2019</v>
      </c>
      <c r="D60" s="1" t="s">
        <v>31</v>
      </c>
      <c r="E60" s="1" t="s">
        <v>117</v>
      </c>
      <c r="F60" s="1" t="s">
        <v>33</v>
      </c>
      <c r="G60" s="1" t="s">
        <v>27</v>
      </c>
      <c r="H60" s="1">
        <v>96.05</v>
      </c>
      <c r="I60" s="1">
        <v>153.24</v>
      </c>
      <c r="J60" s="1">
        <v>1595.4</v>
      </c>
      <c r="K60" s="1" t="s">
        <v>40</v>
      </c>
      <c r="L60" s="1" t="s">
        <v>47</v>
      </c>
      <c r="M60" s="1">
        <v>206.38</v>
      </c>
      <c r="N60" s="1">
        <v>464.65</v>
      </c>
      <c r="O60" s="1" t="s">
        <v>23</v>
      </c>
      <c r="P60" s="1">
        <v>22.36</v>
      </c>
    </row>
    <row r="61" spans="1:16" ht="13" x14ac:dyDescent="0.3">
      <c r="A61" s="1" t="s">
        <v>125</v>
      </c>
      <c r="B61" s="2">
        <v>40542</v>
      </c>
      <c r="C61" s="1">
        <v>2010</v>
      </c>
      <c r="D61" s="1" t="s">
        <v>25</v>
      </c>
      <c r="E61" s="1" t="s">
        <v>26</v>
      </c>
      <c r="F61" s="1" t="s">
        <v>38</v>
      </c>
      <c r="G61" s="1" t="s">
        <v>46</v>
      </c>
      <c r="H61" s="1">
        <v>69.25</v>
      </c>
      <c r="I61" s="1">
        <v>264.5</v>
      </c>
      <c r="J61" s="1">
        <v>3819.47</v>
      </c>
      <c r="K61" s="1" t="s">
        <v>21</v>
      </c>
      <c r="L61" s="1" t="s">
        <v>49</v>
      </c>
      <c r="M61" s="1">
        <v>107.87</v>
      </c>
      <c r="N61" s="1">
        <v>906.96</v>
      </c>
      <c r="O61" s="1" t="s">
        <v>52</v>
      </c>
      <c r="P61" s="1">
        <v>21.07</v>
      </c>
    </row>
    <row r="62" spans="1:16" ht="13" x14ac:dyDescent="0.3">
      <c r="A62" s="1" t="s">
        <v>126</v>
      </c>
      <c r="B62" s="2">
        <v>43606</v>
      </c>
      <c r="C62" s="1">
        <v>2019</v>
      </c>
      <c r="D62" s="1" t="s">
        <v>44</v>
      </c>
      <c r="E62" s="1" t="s">
        <v>67</v>
      </c>
      <c r="F62" s="1" t="s">
        <v>19</v>
      </c>
      <c r="G62" s="1" t="s">
        <v>56</v>
      </c>
      <c r="H62" s="1">
        <v>43.09</v>
      </c>
      <c r="I62" s="1">
        <v>183.88</v>
      </c>
      <c r="J62" s="1">
        <v>4267.37</v>
      </c>
      <c r="K62" s="1" t="s">
        <v>40</v>
      </c>
      <c r="L62" s="1" t="s">
        <v>49</v>
      </c>
      <c r="M62" s="1">
        <v>277.10000000000002</v>
      </c>
      <c r="N62" s="1">
        <v>1026.6300000000001</v>
      </c>
      <c r="O62" s="1" t="s">
        <v>23</v>
      </c>
      <c r="P62" s="1">
        <v>20.89</v>
      </c>
    </row>
    <row r="63" spans="1:16" ht="13" x14ac:dyDescent="0.3">
      <c r="A63" s="1" t="s">
        <v>127</v>
      </c>
      <c r="B63" s="2">
        <v>43780</v>
      </c>
      <c r="C63" s="1">
        <v>2019</v>
      </c>
      <c r="D63" s="1" t="s">
        <v>59</v>
      </c>
      <c r="E63" s="1" t="s">
        <v>93</v>
      </c>
      <c r="F63" s="1" t="s">
        <v>38</v>
      </c>
      <c r="G63" s="1" t="s">
        <v>46</v>
      </c>
      <c r="H63" s="1">
        <v>13.31</v>
      </c>
      <c r="I63" s="1">
        <v>68.31</v>
      </c>
      <c r="J63" s="1">
        <v>5132.07</v>
      </c>
      <c r="K63" s="1" t="s">
        <v>28</v>
      </c>
      <c r="L63" s="1" t="s">
        <v>29</v>
      </c>
      <c r="M63" s="1">
        <v>285.67</v>
      </c>
      <c r="N63" s="1">
        <v>700.47</v>
      </c>
      <c r="O63" s="1" t="s">
        <v>52</v>
      </c>
      <c r="P63" s="1">
        <v>26.57</v>
      </c>
    </row>
    <row r="64" spans="1:16" ht="13" x14ac:dyDescent="0.3">
      <c r="A64" s="1" t="s">
        <v>128</v>
      </c>
      <c r="B64" s="2">
        <v>43814</v>
      </c>
      <c r="C64" s="1">
        <v>2019</v>
      </c>
      <c r="D64" s="1" t="s">
        <v>17</v>
      </c>
      <c r="E64" s="1" t="s">
        <v>72</v>
      </c>
      <c r="F64" s="1" t="s">
        <v>38</v>
      </c>
      <c r="G64" s="1" t="s">
        <v>64</v>
      </c>
      <c r="H64" s="1">
        <v>10.039999999999999</v>
      </c>
      <c r="I64" s="1">
        <v>67.989999999999995</v>
      </c>
      <c r="J64" s="1">
        <v>6771.47</v>
      </c>
      <c r="K64" s="1" t="s">
        <v>21</v>
      </c>
      <c r="L64" s="1" t="s">
        <v>29</v>
      </c>
      <c r="M64" s="1">
        <v>299.89</v>
      </c>
      <c r="N64" s="1">
        <v>872.28</v>
      </c>
      <c r="O64" s="1" t="s">
        <v>70</v>
      </c>
      <c r="P64" s="1">
        <v>28.64</v>
      </c>
    </row>
    <row r="65" spans="1:16" ht="13" x14ac:dyDescent="0.3">
      <c r="A65" s="1" t="s">
        <v>129</v>
      </c>
      <c r="B65" s="2">
        <v>43066</v>
      </c>
      <c r="C65" s="1">
        <v>2017</v>
      </c>
      <c r="D65" s="1" t="s">
        <v>59</v>
      </c>
      <c r="E65" s="1" t="s">
        <v>93</v>
      </c>
      <c r="F65" s="1" t="s">
        <v>38</v>
      </c>
      <c r="G65" s="1" t="s">
        <v>56</v>
      </c>
      <c r="H65" s="1">
        <v>99.7</v>
      </c>
      <c r="I65" s="1">
        <v>360.45</v>
      </c>
      <c r="J65" s="1">
        <v>3615.31</v>
      </c>
      <c r="K65" s="1" t="s">
        <v>28</v>
      </c>
      <c r="L65" s="1" t="s">
        <v>41</v>
      </c>
      <c r="M65" s="1">
        <v>292.26</v>
      </c>
      <c r="N65" s="1">
        <v>670.01</v>
      </c>
      <c r="O65" s="1" t="s">
        <v>52</v>
      </c>
      <c r="P65" s="1">
        <v>25</v>
      </c>
    </row>
    <row r="66" spans="1:16" ht="13" x14ac:dyDescent="0.3">
      <c r="A66" s="1" t="s">
        <v>130</v>
      </c>
      <c r="B66" s="2">
        <v>44604</v>
      </c>
      <c r="C66" s="1">
        <v>2021</v>
      </c>
      <c r="D66" s="1" t="s">
        <v>31</v>
      </c>
      <c r="E66" s="1" t="s">
        <v>32</v>
      </c>
      <c r="F66" s="1" t="s">
        <v>38</v>
      </c>
      <c r="G66" s="1" t="s">
        <v>20</v>
      </c>
      <c r="H66" s="1">
        <v>66.599999999999994</v>
      </c>
      <c r="I66" s="1">
        <v>226.62</v>
      </c>
      <c r="J66" s="1">
        <v>3402.71</v>
      </c>
      <c r="K66" s="1" t="s">
        <v>21</v>
      </c>
      <c r="L66" s="1" t="s">
        <v>47</v>
      </c>
      <c r="M66" s="1">
        <v>163.71</v>
      </c>
      <c r="N66" s="1">
        <v>514.52</v>
      </c>
      <c r="O66" s="1" t="s">
        <v>70</v>
      </c>
      <c r="P66" s="1">
        <v>21.74</v>
      </c>
    </row>
    <row r="67" spans="1:16" ht="13" x14ac:dyDescent="0.3">
      <c r="A67" s="1" t="s">
        <v>131</v>
      </c>
      <c r="B67" s="2">
        <v>43935</v>
      </c>
      <c r="C67" s="1">
        <v>2020</v>
      </c>
      <c r="D67" s="1" t="s">
        <v>44</v>
      </c>
      <c r="E67" s="1" t="s">
        <v>45</v>
      </c>
      <c r="F67" s="1" t="s">
        <v>19</v>
      </c>
      <c r="G67" s="1" t="s">
        <v>46</v>
      </c>
      <c r="H67" s="1">
        <v>41.91</v>
      </c>
      <c r="I67" s="1">
        <v>89.08</v>
      </c>
      <c r="J67" s="1">
        <v>2125.5</v>
      </c>
      <c r="K67" s="1" t="s">
        <v>34</v>
      </c>
      <c r="L67" s="1" t="s">
        <v>49</v>
      </c>
      <c r="M67" s="1">
        <v>205.66</v>
      </c>
      <c r="N67" s="1">
        <v>698.49</v>
      </c>
      <c r="O67" s="1" t="s">
        <v>52</v>
      </c>
      <c r="P67" s="1">
        <v>31.4</v>
      </c>
    </row>
    <row r="68" spans="1:16" ht="13" x14ac:dyDescent="0.3">
      <c r="A68" s="1" t="s">
        <v>132</v>
      </c>
      <c r="B68" s="2">
        <v>41967</v>
      </c>
      <c r="C68" s="1">
        <v>2014</v>
      </c>
      <c r="D68" s="1" t="s">
        <v>59</v>
      </c>
      <c r="E68" s="1" t="s">
        <v>60</v>
      </c>
      <c r="F68" s="1" t="s">
        <v>38</v>
      </c>
      <c r="G68" s="1" t="s">
        <v>39</v>
      </c>
      <c r="H68" s="1">
        <v>48.99</v>
      </c>
      <c r="I68" s="1">
        <v>57.48</v>
      </c>
      <c r="J68" s="1">
        <v>1173.22</v>
      </c>
      <c r="K68" s="1" t="s">
        <v>40</v>
      </c>
      <c r="L68" s="1" t="s">
        <v>41</v>
      </c>
      <c r="M68" s="1">
        <v>227.45</v>
      </c>
      <c r="N68" s="1">
        <v>510.75</v>
      </c>
      <c r="O68" s="1" t="s">
        <v>23</v>
      </c>
      <c r="P68" s="1">
        <v>28.28</v>
      </c>
    </row>
    <row r="69" spans="1:16" ht="13" x14ac:dyDescent="0.3">
      <c r="A69" s="1" t="s">
        <v>133</v>
      </c>
      <c r="B69" s="2">
        <v>42949</v>
      </c>
      <c r="C69" s="1">
        <v>2017</v>
      </c>
      <c r="D69" s="1" t="s">
        <v>44</v>
      </c>
      <c r="E69" s="1" t="s">
        <v>45</v>
      </c>
      <c r="F69" s="1" t="s">
        <v>33</v>
      </c>
      <c r="G69" s="1" t="s">
        <v>39</v>
      </c>
      <c r="H69" s="1">
        <v>83.38</v>
      </c>
      <c r="I69" s="1">
        <v>332.71</v>
      </c>
      <c r="J69" s="1">
        <v>3990.25</v>
      </c>
      <c r="K69" s="1" t="s">
        <v>34</v>
      </c>
      <c r="L69" s="1" t="s">
        <v>29</v>
      </c>
      <c r="M69" s="1">
        <v>177.22</v>
      </c>
      <c r="N69" s="1">
        <v>473.42</v>
      </c>
      <c r="O69" s="1" t="s">
        <v>52</v>
      </c>
      <c r="P69" s="1">
        <v>34.700000000000003</v>
      </c>
    </row>
    <row r="70" spans="1:16" ht="13" x14ac:dyDescent="0.3">
      <c r="A70" s="1" t="s">
        <v>134</v>
      </c>
      <c r="B70" s="2">
        <v>42651</v>
      </c>
      <c r="C70" s="1">
        <v>2016</v>
      </c>
      <c r="D70" s="1" t="s">
        <v>59</v>
      </c>
      <c r="E70" s="1" t="s">
        <v>60</v>
      </c>
      <c r="F70" s="1" t="s">
        <v>33</v>
      </c>
      <c r="G70" s="1" t="s">
        <v>27</v>
      </c>
      <c r="H70" s="1">
        <v>51.32</v>
      </c>
      <c r="I70" s="1">
        <v>322.08</v>
      </c>
      <c r="J70" s="1">
        <v>6275.96</v>
      </c>
      <c r="K70" s="1" t="s">
        <v>21</v>
      </c>
      <c r="L70" s="1" t="s">
        <v>49</v>
      </c>
      <c r="M70" s="1">
        <v>119.06</v>
      </c>
      <c r="N70" s="1">
        <v>990.01</v>
      </c>
      <c r="O70" s="1" t="s">
        <v>52</v>
      </c>
      <c r="P70" s="1">
        <v>25.1</v>
      </c>
    </row>
    <row r="71" spans="1:16" ht="13" x14ac:dyDescent="0.3">
      <c r="A71" s="1" t="s">
        <v>135</v>
      </c>
      <c r="B71" s="2">
        <v>41765</v>
      </c>
      <c r="C71" s="1">
        <v>2014</v>
      </c>
      <c r="D71" s="1" t="s">
        <v>44</v>
      </c>
      <c r="E71" s="1" t="s">
        <v>45</v>
      </c>
      <c r="F71" s="1" t="s">
        <v>19</v>
      </c>
      <c r="G71" s="1" t="s">
        <v>20</v>
      </c>
      <c r="H71" s="1">
        <v>83.91</v>
      </c>
      <c r="I71" s="1">
        <v>375.88</v>
      </c>
      <c r="J71" s="1">
        <v>4479.54</v>
      </c>
      <c r="K71" s="1" t="s">
        <v>28</v>
      </c>
      <c r="L71" s="1" t="s">
        <v>47</v>
      </c>
      <c r="M71" s="1">
        <v>266.32</v>
      </c>
      <c r="N71" s="1">
        <v>646.54999999999995</v>
      </c>
      <c r="O71" s="1" t="s">
        <v>52</v>
      </c>
      <c r="P71" s="1">
        <v>25.18</v>
      </c>
    </row>
    <row r="72" spans="1:16" ht="13" x14ac:dyDescent="0.3">
      <c r="A72" s="1" t="s">
        <v>136</v>
      </c>
      <c r="B72" s="2">
        <v>42194</v>
      </c>
      <c r="C72" s="1">
        <v>2015</v>
      </c>
      <c r="D72" s="1" t="s">
        <v>36</v>
      </c>
      <c r="E72" s="1" t="s">
        <v>51</v>
      </c>
      <c r="F72" s="1" t="s">
        <v>33</v>
      </c>
      <c r="G72" s="1" t="s">
        <v>39</v>
      </c>
      <c r="H72" s="1">
        <v>24.64</v>
      </c>
      <c r="I72" s="1">
        <v>81.260000000000005</v>
      </c>
      <c r="J72" s="1">
        <v>3297.83</v>
      </c>
      <c r="K72" s="1" t="s">
        <v>28</v>
      </c>
      <c r="L72" s="1" t="s">
        <v>29</v>
      </c>
      <c r="M72" s="1">
        <v>60.91</v>
      </c>
      <c r="N72" s="1">
        <v>944.71</v>
      </c>
      <c r="O72" s="1" t="s">
        <v>52</v>
      </c>
      <c r="P72" s="1">
        <v>25.79</v>
      </c>
    </row>
    <row r="73" spans="1:16" ht="13" x14ac:dyDescent="0.3">
      <c r="A73" s="1" t="s">
        <v>137</v>
      </c>
      <c r="B73" s="2">
        <v>43217</v>
      </c>
      <c r="C73" s="1">
        <v>2018</v>
      </c>
      <c r="D73" s="1" t="s">
        <v>25</v>
      </c>
      <c r="E73" s="1" t="s">
        <v>26</v>
      </c>
      <c r="F73" s="1" t="s">
        <v>19</v>
      </c>
      <c r="G73" s="1" t="s">
        <v>20</v>
      </c>
      <c r="H73" s="1">
        <v>87.1</v>
      </c>
      <c r="I73" s="1">
        <v>543.95000000000005</v>
      </c>
      <c r="J73" s="1">
        <v>6245.14</v>
      </c>
      <c r="K73" s="1" t="s">
        <v>28</v>
      </c>
      <c r="L73" s="1" t="s">
        <v>41</v>
      </c>
      <c r="M73" s="1">
        <v>74.930000000000007</v>
      </c>
      <c r="N73" s="1">
        <v>1110.44</v>
      </c>
      <c r="O73" s="1" t="s">
        <v>23</v>
      </c>
      <c r="P73" s="1">
        <v>30.84</v>
      </c>
    </row>
    <row r="74" spans="1:16" ht="13" x14ac:dyDescent="0.3">
      <c r="A74" s="1" t="s">
        <v>138</v>
      </c>
      <c r="B74" s="2">
        <v>44947</v>
      </c>
      <c r="C74" s="1">
        <v>2022</v>
      </c>
      <c r="D74" s="1" t="s">
        <v>25</v>
      </c>
      <c r="E74" s="1" t="s">
        <v>87</v>
      </c>
      <c r="F74" s="1" t="s">
        <v>38</v>
      </c>
      <c r="G74" s="1" t="s">
        <v>20</v>
      </c>
      <c r="H74" s="1">
        <v>62.7</v>
      </c>
      <c r="I74" s="1">
        <v>212.23</v>
      </c>
      <c r="J74" s="1">
        <v>3384.9</v>
      </c>
      <c r="K74" s="1" t="s">
        <v>21</v>
      </c>
      <c r="L74" s="1" t="s">
        <v>29</v>
      </c>
      <c r="M74" s="1">
        <v>262.94</v>
      </c>
      <c r="N74" s="1">
        <v>1052.3399999999999</v>
      </c>
      <c r="O74" s="1" t="s">
        <v>61</v>
      </c>
      <c r="P74" s="1">
        <v>25.7</v>
      </c>
    </row>
    <row r="75" spans="1:16" ht="13" x14ac:dyDescent="0.3">
      <c r="A75" s="1" t="s">
        <v>139</v>
      </c>
      <c r="B75" s="2">
        <v>40317</v>
      </c>
      <c r="C75" s="1">
        <v>2010</v>
      </c>
      <c r="D75" s="1" t="s">
        <v>44</v>
      </c>
      <c r="E75" s="1" t="s">
        <v>67</v>
      </c>
      <c r="F75" s="1" t="s">
        <v>19</v>
      </c>
      <c r="G75" s="1" t="s">
        <v>64</v>
      </c>
      <c r="H75" s="1">
        <v>24.24</v>
      </c>
      <c r="I75" s="1">
        <v>123.78</v>
      </c>
      <c r="J75" s="1">
        <v>5106.3999999999996</v>
      </c>
      <c r="K75" s="1" t="s">
        <v>34</v>
      </c>
      <c r="L75" s="1" t="s">
        <v>22</v>
      </c>
      <c r="M75" s="1">
        <v>299.36</v>
      </c>
      <c r="N75" s="1">
        <v>946.77</v>
      </c>
      <c r="O75" s="1" t="s">
        <v>52</v>
      </c>
      <c r="P75" s="1">
        <v>34.68</v>
      </c>
    </row>
    <row r="76" spans="1:16" ht="13" x14ac:dyDescent="0.3">
      <c r="A76" s="1" t="s">
        <v>140</v>
      </c>
      <c r="B76" s="2">
        <v>44645</v>
      </c>
      <c r="C76" s="1">
        <v>2021</v>
      </c>
      <c r="D76" s="1" t="s">
        <v>36</v>
      </c>
      <c r="E76" s="1" t="s">
        <v>37</v>
      </c>
      <c r="F76" s="1" t="s">
        <v>38</v>
      </c>
      <c r="G76" s="1" t="s">
        <v>64</v>
      </c>
      <c r="H76" s="1">
        <v>5.55</v>
      </c>
      <c r="I76" s="1">
        <v>32.06</v>
      </c>
      <c r="J76" s="1">
        <v>5776.86</v>
      </c>
      <c r="K76" s="1" t="s">
        <v>34</v>
      </c>
      <c r="L76" s="1" t="s">
        <v>41</v>
      </c>
      <c r="M76" s="1">
        <v>139.62</v>
      </c>
      <c r="N76" s="1">
        <v>630.69000000000005</v>
      </c>
      <c r="O76" s="1" t="s">
        <v>42</v>
      </c>
      <c r="P76" s="1">
        <v>27.97</v>
      </c>
    </row>
    <row r="77" spans="1:16" ht="13" x14ac:dyDescent="0.3">
      <c r="A77" s="1" t="s">
        <v>141</v>
      </c>
      <c r="B77" s="2">
        <v>40634</v>
      </c>
      <c r="C77" s="1">
        <v>2011</v>
      </c>
      <c r="D77" s="1" t="s">
        <v>103</v>
      </c>
      <c r="E77" s="1" t="s">
        <v>104</v>
      </c>
      <c r="F77" s="1" t="s">
        <v>19</v>
      </c>
      <c r="G77" s="1" t="s">
        <v>46</v>
      </c>
      <c r="H77" s="1">
        <v>62.35</v>
      </c>
      <c r="I77" s="1">
        <v>152.44</v>
      </c>
      <c r="J77" s="1">
        <v>2444.98</v>
      </c>
      <c r="K77" s="1" t="s">
        <v>40</v>
      </c>
      <c r="L77" s="1" t="s">
        <v>29</v>
      </c>
      <c r="M77" s="1">
        <v>108.05</v>
      </c>
      <c r="N77" s="1">
        <v>837.9</v>
      </c>
      <c r="O77" s="1" t="s">
        <v>52</v>
      </c>
      <c r="P77" s="1">
        <v>23.83</v>
      </c>
    </row>
    <row r="78" spans="1:16" ht="13" x14ac:dyDescent="0.3">
      <c r="A78" s="1" t="s">
        <v>142</v>
      </c>
      <c r="B78" s="2">
        <v>43329</v>
      </c>
      <c r="C78" s="1">
        <v>2018</v>
      </c>
      <c r="D78" s="1" t="s">
        <v>31</v>
      </c>
      <c r="E78" s="1" t="s">
        <v>117</v>
      </c>
      <c r="F78" s="1" t="s">
        <v>33</v>
      </c>
      <c r="G78" s="1" t="s">
        <v>64</v>
      </c>
      <c r="H78" s="1">
        <v>44.73</v>
      </c>
      <c r="I78" s="1">
        <v>137.47</v>
      </c>
      <c r="J78" s="1">
        <v>3073.39</v>
      </c>
      <c r="K78" s="1" t="s">
        <v>34</v>
      </c>
      <c r="L78" s="1" t="s">
        <v>41</v>
      </c>
      <c r="M78" s="1">
        <v>209.73</v>
      </c>
      <c r="N78" s="1">
        <v>624.30999999999995</v>
      </c>
      <c r="O78" s="1" t="s">
        <v>70</v>
      </c>
      <c r="P78" s="1">
        <v>26.85</v>
      </c>
    </row>
    <row r="79" spans="1:16" ht="13" x14ac:dyDescent="0.3">
      <c r="A79" s="1" t="s">
        <v>143</v>
      </c>
      <c r="B79" s="2">
        <v>40839</v>
      </c>
      <c r="C79" s="1">
        <v>2011</v>
      </c>
      <c r="D79" s="1" t="s">
        <v>36</v>
      </c>
      <c r="E79" s="1" t="s">
        <v>51</v>
      </c>
      <c r="F79" s="1" t="s">
        <v>33</v>
      </c>
      <c r="G79" s="1" t="s">
        <v>46</v>
      </c>
      <c r="H79" s="1">
        <v>57.62</v>
      </c>
      <c r="I79" s="1">
        <v>256.33999999999997</v>
      </c>
      <c r="J79" s="1">
        <v>4448.87</v>
      </c>
      <c r="K79" s="1" t="s">
        <v>34</v>
      </c>
      <c r="L79" s="1" t="s">
        <v>22</v>
      </c>
      <c r="M79" s="1">
        <v>55.48</v>
      </c>
      <c r="N79" s="1">
        <v>1030.04</v>
      </c>
      <c r="O79" s="1" t="s">
        <v>52</v>
      </c>
      <c r="P79" s="1">
        <v>24.12</v>
      </c>
    </row>
    <row r="80" spans="1:16" ht="13" x14ac:dyDescent="0.3">
      <c r="A80" s="1" t="s">
        <v>144</v>
      </c>
      <c r="B80" s="2">
        <v>43050</v>
      </c>
      <c r="C80" s="1">
        <v>2017</v>
      </c>
      <c r="D80" s="1" t="s">
        <v>59</v>
      </c>
      <c r="E80" s="1" t="s">
        <v>93</v>
      </c>
      <c r="F80" s="1" t="s">
        <v>38</v>
      </c>
      <c r="G80" s="1" t="s">
        <v>56</v>
      </c>
      <c r="H80" s="1">
        <v>61.1</v>
      </c>
      <c r="I80" s="1">
        <v>190.26</v>
      </c>
      <c r="J80" s="1">
        <v>3113.93</v>
      </c>
      <c r="K80" s="1" t="s">
        <v>40</v>
      </c>
      <c r="L80" s="1" t="s">
        <v>49</v>
      </c>
      <c r="M80" s="1">
        <v>205.22</v>
      </c>
      <c r="N80" s="1">
        <v>877.76</v>
      </c>
      <c r="O80" s="1" t="s">
        <v>42</v>
      </c>
      <c r="P80" s="1">
        <v>29.42</v>
      </c>
    </row>
    <row r="81" spans="1:16" ht="13" x14ac:dyDescent="0.3">
      <c r="A81" s="1" t="s">
        <v>145</v>
      </c>
      <c r="B81" s="2">
        <v>40303</v>
      </c>
      <c r="C81" s="1">
        <v>2010</v>
      </c>
      <c r="D81" s="1" t="s">
        <v>44</v>
      </c>
      <c r="E81" s="1" t="s">
        <v>99</v>
      </c>
      <c r="F81" s="1" t="s">
        <v>19</v>
      </c>
      <c r="G81" s="1" t="s">
        <v>20</v>
      </c>
      <c r="H81" s="1">
        <v>73.5</v>
      </c>
      <c r="I81" s="1">
        <v>113.25</v>
      </c>
      <c r="J81" s="1">
        <v>1540.8</v>
      </c>
      <c r="K81" s="1" t="s">
        <v>34</v>
      </c>
      <c r="L81" s="1" t="s">
        <v>49</v>
      </c>
      <c r="M81" s="1">
        <v>131.68</v>
      </c>
      <c r="N81" s="1">
        <v>615.5</v>
      </c>
      <c r="O81" s="1" t="s">
        <v>42</v>
      </c>
      <c r="P81" s="1">
        <v>21.98</v>
      </c>
    </row>
    <row r="82" spans="1:16" ht="13" x14ac:dyDescent="0.3">
      <c r="A82" s="1" t="s">
        <v>146</v>
      </c>
      <c r="B82" s="2">
        <v>41810</v>
      </c>
      <c r="C82" s="1">
        <v>2014</v>
      </c>
      <c r="D82" s="1" t="s">
        <v>59</v>
      </c>
      <c r="E82" s="1" t="s">
        <v>93</v>
      </c>
      <c r="F82" s="1" t="s">
        <v>33</v>
      </c>
      <c r="G82" s="1" t="s">
        <v>20</v>
      </c>
      <c r="H82" s="1">
        <v>91.49</v>
      </c>
      <c r="I82" s="1">
        <v>609.79</v>
      </c>
      <c r="J82" s="1">
        <v>6665.13</v>
      </c>
      <c r="K82" s="1" t="s">
        <v>34</v>
      </c>
      <c r="L82" s="1" t="s">
        <v>41</v>
      </c>
      <c r="M82" s="1">
        <v>236.64</v>
      </c>
      <c r="N82" s="1">
        <v>538.72</v>
      </c>
      <c r="O82" s="1" t="s">
        <v>23</v>
      </c>
      <c r="P82" s="1">
        <v>27.02</v>
      </c>
    </row>
    <row r="83" spans="1:16" ht="13" x14ac:dyDescent="0.3">
      <c r="A83" s="1" t="s">
        <v>147</v>
      </c>
      <c r="B83" s="2">
        <v>43951</v>
      </c>
      <c r="C83" s="1">
        <v>2020</v>
      </c>
      <c r="D83" s="1" t="s">
        <v>44</v>
      </c>
      <c r="E83" s="1" t="s">
        <v>45</v>
      </c>
      <c r="F83" s="1" t="s">
        <v>19</v>
      </c>
      <c r="G83" s="1" t="s">
        <v>39</v>
      </c>
      <c r="H83" s="1">
        <v>98.01</v>
      </c>
      <c r="I83" s="1">
        <v>666.82</v>
      </c>
      <c r="J83" s="1">
        <v>6803.62</v>
      </c>
      <c r="K83" s="1" t="s">
        <v>34</v>
      </c>
      <c r="L83" s="1" t="s">
        <v>49</v>
      </c>
      <c r="M83" s="1">
        <v>72.58</v>
      </c>
      <c r="N83" s="1">
        <v>594.57000000000005</v>
      </c>
      <c r="O83" s="1" t="s">
        <v>70</v>
      </c>
      <c r="P83" s="1">
        <v>28.05</v>
      </c>
    </row>
    <row r="84" spans="1:16" ht="13" x14ac:dyDescent="0.3">
      <c r="A84" s="1" t="s">
        <v>148</v>
      </c>
      <c r="B84" s="2">
        <v>44279</v>
      </c>
      <c r="C84" s="1">
        <v>2020</v>
      </c>
      <c r="D84" s="1" t="s">
        <v>17</v>
      </c>
      <c r="E84" s="1" t="s">
        <v>54</v>
      </c>
      <c r="F84" s="1" t="s">
        <v>38</v>
      </c>
      <c r="G84" s="1" t="s">
        <v>27</v>
      </c>
      <c r="H84" s="1">
        <v>38.72</v>
      </c>
      <c r="I84" s="1">
        <v>187.07</v>
      </c>
      <c r="J84" s="1">
        <v>4831.3</v>
      </c>
      <c r="K84" s="1" t="s">
        <v>34</v>
      </c>
      <c r="L84" s="1" t="s">
        <v>49</v>
      </c>
      <c r="M84" s="1">
        <v>77.09</v>
      </c>
      <c r="N84" s="1">
        <v>433.82</v>
      </c>
      <c r="O84" s="1" t="s">
        <v>23</v>
      </c>
      <c r="P84" s="1">
        <v>29.29</v>
      </c>
    </row>
    <row r="85" spans="1:16" ht="13" x14ac:dyDescent="0.3">
      <c r="A85" s="1" t="s">
        <v>149</v>
      </c>
      <c r="B85" s="2">
        <v>44060</v>
      </c>
      <c r="C85" s="1">
        <v>2020</v>
      </c>
      <c r="D85" s="1" t="s">
        <v>59</v>
      </c>
      <c r="E85" s="1" t="s">
        <v>60</v>
      </c>
      <c r="F85" s="1" t="s">
        <v>33</v>
      </c>
      <c r="G85" s="1" t="s">
        <v>39</v>
      </c>
      <c r="H85" s="1">
        <v>82.56</v>
      </c>
      <c r="I85" s="1">
        <v>533.03</v>
      </c>
      <c r="J85" s="1">
        <v>6456.33</v>
      </c>
      <c r="K85" s="1" t="s">
        <v>34</v>
      </c>
      <c r="L85" s="1" t="s">
        <v>29</v>
      </c>
      <c r="M85" s="1">
        <v>212.31</v>
      </c>
      <c r="N85" s="1">
        <v>316.68</v>
      </c>
      <c r="O85" s="1" t="s">
        <v>23</v>
      </c>
      <c r="P85" s="1">
        <v>34.19</v>
      </c>
    </row>
    <row r="86" spans="1:16" ht="13" x14ac:dyDescent="0.3">
      <c r="A86" s="1" t="s">
        <v>150</v>
      </c>
      <c r="B86" s="2">
        <v>41418</v>
      </c>
      <c r="C86" s="1">
        <v>2013</v>
      </c>
      <c r="D86" s="1" t="s">
        <v>25</v>
      </c>
      <c r="E86" s="1" t="s">
        <v>26</v>
      </c>
      <c r="F86" s="1" t="s">
        <v>19</v>
      </c>
      <c r="G86" s="1" t="s">
        <v>56</v>
      </c>
      <c r="H86" s="1">
        <v>39.479999999999997</v>
      </c>
      <c r="I86" s="1">
        <v>127.37</v>
      </c>
      <c r="J86" s="1">
        <v>3226.07</v>
      </c>
      <c r="K86" s="1" t="s">
        <v>28</v>
      </c>
      <c r="L86" s="1" t="s">
        <v>29</v>
      </c>
      <c r="M86" s="1">
        <v>196.84</v>
      </c>
      <c r="N86" s="1">
        <v>926.6</v>
      </c>
      <c r="O86" s="1" t="s">
        <v>52</v>
      </c>
      <c r="P86" s="1">
        <v>29.82</v>
      </c>
    </row>
    <row r="87" spans="1:16" ht="13" x14ac:dyDescent="0.3">
      <c r="A87" s="1" t="s">
        <v>151</v>
      </c>
      <c r="B87" s="2">
        <v>41882</v>
      </c>
      <c r="C87" s="1">
        <v>2014</v>
      </c>
      <c r="D87" s="1" t="s">
        <v>59</v>
      </c>
      <c r="E87" s="1" t="s">
        <v>63</v>
      </c>
      <c r="F87" s="1" t="s">
        <v>33</v>
      </c>
      <c r="G87" s="1" t="s">
        <v>39</v>
      </c>
      <c r="H87" s="1">
        <v>37.68</v>
      </c>
      <c r="I87" s="1">
        <v>137.91999999999999</v>
      </c>
      <c r="J87" s="1">
        <v>3660.3</v>
      </c>
      <c r="K87" s="1" t="s">
        <v>40</v>
      </c>
      <c r="L87" s="1" t="s">
        <v>22</v>
      </c>
      <c r="M87" s="1">
        <v>263.86</v>
      </c>
      <c r="N87" s="1">
        <v>299.35000000000002</v>
      </c>
      <c r="O87" s="1" t="s">
        <v>70</v>
      </c>
      <c r="P87" s="1">
        <v>28.17</v>
      </c>
    </row>
    <row r="88" spans="1:16" ht="13" x14ac:dyDescent="0.3">
      <c r="A88" s="1" t="s">
        <v>152</v>
      </c>
      <c r="B88" s="2">
        <v>41478</v>
      </c>
      <c r="C88" s="1">
        <v>2013</v>
      </c>
      <c r="D88" s="1" t="s">
        <v>36</v>
      </c>
      <c r="E88" s="1" t="s">
        <v>51</v>
      </c>
      <c r="F88" s="1" t="s">
        <v>33</v>
      </c>
      <c r="G88" s="1" t="s">
        <v>46</v>
      </c>
      <c r="H88" s="1">
        <v>10.08</v>
      </c>
      <c r="I88" s="1">
        <v>22.91</v>
      </c>
      <c r="J88" s="1">
        <v>2272.63</v>
      </c>
      <c r="K88" s="1" t="s">
        <v>21</v>
      </c>
      <c r="L88" s="1" t="s">
        <v>22</v>
      </c>
      <c r="M88" s="1">
        <v>62.64</v>
      </c>
      <c r="N88" s="1">
        <v>533.51</v>
      </c>
      <c r="O88" s="1" t="s">
        <v>42</v>
      </c>
      <c r="P88" s="1">
        <v>31.8</v>
      </c>
    </row>
    <row r="89" spans="1:16" ht="13" x14ac:dyDescent="0.3">
      <c r="A89" s="1" t="s">
        <v>153</v>
      </c>
      <c r="B89" s="2">
        <v>41374</v>
      </c>
      <c r="C89" s="1">
        <v>2013</v>
      </c>
      <c r="D89" s="1" t="s">
        <v>44</v>
      </c>
      <c r="E89" s="1" t="s">
        <v>67</v>
      </c>
      <c r="F89" s="1" t="s">
        <v>19</v>
      </c>
      <c r="G89" s="1" t="s">
        <v>56</v>
      </c>
      <c r="H89" s="1">
        <v>81.489999999999995</v>
      </c>
      <c r="I89" s="1">
        <v>195.41</v>
      </c>
      <c r="J89" s="1">
        <v>2397.9899999999998</v>
      </c>
      <c r="K89" s="1" t="s">
        <v>40</v>
      </c>
      <c r="L89" s="1" t="s">
        <v>41</v>
      </c>
      <c r="M89" s="1">
        <v>247.16</v>
      </c>
      <c r="N89" s="1">
        <v>795.98</v>
      </c>
      <c r="O89" s="1" t="s">
        <v>70</v>
      </c>
      <c r="P89" s="1">
        <v>32.880000000000003</v>
      </c>
    </row>
    <row r="90" spans="1:16" ht="13" x14ac:dyDescent="0.3">
      <c r="A90" s="1" t="s">
        <v>154</v>
      </c>
      <c r="B90" s="2">
        <v>44757</v>
      </c>
      <c r="C90" s="1">
        <v>2022</v>
      </c>
      <c r="D90" s="1" t="s">
        <v>59</v>
      </c>
      <c r="E90" s="1" t="s">
        <v>63</v>
      </c>
      <c r="F90" s="1" t="s">
        <v>33</v>
      </c>
      <c r="G90" s="1" t="s">
        <v>64</v>
      </c>
      <c r="H90" s="1">
        <v>66.44</v>
      </c>
      <c r="I90" s="1">
        <v>76.72</v>
      </c>
      <c r="J90" s="1">
        <v>1154.68</v>
      </c>
      <c r="K90" s="1" t="s">
        <v>21</v>
      </c>
      <c r="L90" s="1" t="s">
        <v>49</v>
      </c>
      <c r="M90" s="1">
        <v>139.56</v>
      </c>
      <c r="N90" s="1">
        <v>988.43</v>
      </c>
      <c r="O90" s="1" t="s">
        <v>61</v>
      </c>
      <c r="P90" s="1">
        <v>24.86</v>
      </c>
    </row>
    <row r="91" spans="1:16" ht="13" x14ac:dyDescent="0.3">
      <c r="A91" s="1" t="s">
        <v>155</v>
      </c>
      <c r="B91" s="2">
        <v>44557</v>
      </c>
      <c r="C91" s="1">
        <v>2021</v>
      </c>
      <c r="D91" s="1" t="s">
        <v>25</v>
      </c>
      <c r="E91" s="1" t="s">
        <v>26</v>
      </c>
      <c r="F91" s="1" t="s">
        <v>38</v>
      </c>
      <c r="G91" s="1" t="s">
        <v>27</v>
      </c>
      <c r="H91" s="1">
        <v>12.25</v>
      </c>
      <c r="I91" s="1">
        <v>16.920000000000002</v>
      </c>
      <c r="J91" s="1">
        <v>1381.35</v>
      </c>
      <c r="K91" s="1" t="s">
        <v>28</v>
      </c>
      <c r="L91" s="1" t="s">
        <v>47</v>
      </c>
      <c r="M91" s="1">
        <v>244.5</v>
      </c>
      <c r="N91" s="1">
        <v>713.24</v>
      </c>
      <c r="O91" s="1" t="s">
        <v>23</v>
      </c>
      <c r="P91" s="1">
        <v>26.78</v>
      </c>
    </row>
    <row r="92" spans="1:16" ht="13" x14ac:dyDescent="0.3">
      <c r="A92" s="1" t="s">
        <v>156</v>
      </c>
      <c r="B92" s="2">
        <v>44658</v>
      </c>
      <c r="C92" s="1">
        <v>2022</v>
      </c>
      <c r="D92" s="1" t="s">
        <v>25</v>
      </c>
      <c r="E92" s="1" t="s">
        <v>69</v>
      </c>
      <c r="F92" s="1" t="s">
        <v>19</v>
      </c>
      <c r="G92" s="1" t="s">
        <v>27</v>
      </c>
      <c r="H92" s="1">
        <v>30.86</v>
      </c>
      <c r="I92" s="1">
        <v>149.97999999999999</v>
      </c>
      <c r="J92" s="1">
        <v>4860.04</v>
      </c>
      <c r="K92" s="1" t="s">
        <v>21</v>
      </c>
      <c r="L92" s="1" t="s">
        <v>29</v>
      </c>
      <c r="M92" s="1">
        <v>65.209999999999994</v>
      </c>
      <c r="N92" s="1">
        <v>678.98</v>
      </c>
      <c r="O92" s="1" t="s">
        <v>52</v>
      </c>
      <c r="P92" s="1">
        <v>26.39</v>
      </c>
    </row>
    <row r="93" spans="1:16" ht="13" x14ac:dyDescent="0.3">
      <c r="A93" s="1" t="s">
        <v>157</v>
      </c>
      <c r="B93" s="2">
        <v>40847</v>
      </c>
      <c r="C93" s="1">
        <v>2011</v>
      </c>
      <c r="D93" s="1" t="s">
        <v>17</v>
      </c>
      <c r="E93" s="1" t="s">
        <v>72</v>
      </c>
      <c r="F93" s="1" t="s">
        <v>33</v>
      </c>
      <c r="G93" s="1" t="s">
        <v>20</v>
      </c>
      <c r="H93" s="1">
        <v>61.22</v>
      </c>
      <c r="I93" s="1">
        <v>85.35</v>
      </c>
      <c r="J93" s="1">
        <v>1394.09</v>
      </c>
      <c r="K93" s="1" t="s">
        <v>34</v>
      </c>
      <c r="L93" s="1" t="s">
        <v>47</v>
      </c>
      <c r="M93" s="1">
        <v>206.08</v>
      </c>
      <c r="N93" s="1">
        <v>785.36</v>
      </c>
      <c r="O93" s="1" t="s">
        <v>70</v>
      </c>
      <c r="P93" s="1">
        <v>25.71</v>
      </c>
    </row>
    <row r="94" spans="1:16" ht="13" x14ac:dyDescent="0.3">
      <c r="A94" s="1" t="s">
        <v>158</v>
      </c>
      <c r="B94" s="2">
        <v>43220</v>
      </c>
      <c r="C94" s="1">
        <v>2018</v>
      </c>
      <c r="D94" s="1" t="s">
        <v>31</v>
      </c>
      <c r="E94" s="1" t="s">
        <v>32</v>
      </c>
      <c r="F94" s="1" t="s">
        <v>19</v>
      </c>
      <c r="G94" s="1" t="s">
        <v>46</v>
      </c>
      <c r="H94" s="1">
        <v>10.82</v>
      </c>
      <c r="I94" s="1">
        <v>56.38</v>
      </c>
      <c r="J94" s="1">
        <v>5210.68</v>
      </c>
      <c r="K94" s="1" t="s">
        <v>40</v>
      </c>
      <c r="L94" s="1" t="s">
        <v>29</v>
      </c>
      <c r="M94" s="1">
        <v>157.52000000000001</v>
      </c>
      <c r="N94" s="1">
        <v>1088.0899999999999</v>
      </c>
      <c r="O94" s="1" t="s">
        <v>52</v>
      </c>
      <c r="P94" s="1">
        <v>25.08</v>
      </c>
    </row>
    <row r="95" spans="1:16" ht="13" x14ac:dyDescent="0.3">
      <c r="A95" s="1" t="s">
        <v>159</v>
      </c>
      <c r="B95" s="2">
        <v>40871</v>
      </c>
      <c r="C95" s="1">
        <v>2011</v>
      </c>
      <c r="D95" s="1" t="s">
        <v>36</v>
      </c>
      <c r="E95" s="1" t="s">
        <v>77</v>
      </c>
      <c r="F95" s="1" t="s">
        <v>38</v>
      </c>
      <c r="G95" s="1" t="s">
        <v>46</v>
      </c>
      <c r="H95" s="1">
        <v>31.94</v>
      </c>
      <c r="I95" s="1">
        <v>80.790000000000006</v>
      </c>
      <c r="J95" s="1">
        <v>2529.34</v>
      </c>
      <c r="K95" s="1" t="s">
        <v>40</v>
      </c>
      <c r="L95" s="1" t="s">
        <v>29</v>
      </c>
      <c r="M95" s="1">
        <v>221.71</v>
      </c>
      <c r="N95" s="1">
        <v>674.27</v>
      </c>
      <c r="O95" s="1" t="s">
        <v>23</v>
      </c>
      <c r="P95" s="1">
        <v>32.479999999999997</v>
      </c>
    </row>
    <row r="96" spans="1:16" ht="13" x14ac:dyDescent="0.3">
      <c r="A96" s="1" t="s">
        <v>160</v>
      </c>
      <c r="B96" s="2">
        <v>44514</v>
      </c>
      <c r="C96" s="1">
        <v>2021</v>
      </c>
      <c r="D96" s="1" t="s">
        <v>25</v>
      </c>
      <c r="E96" s="1" t="s">
        <v>69</v>
      </c>
      <c r="F96" s="1" t="s">
        <v>38</v>
      </c>
      <c r="G96" s="1" t="s">
        <v>56</v>
      </c>
      <c r="H96" s="1">
        <v>56.08</v>
      </c>
      <c r="I96" s="1">
        <v>253.41</v>
      </c>
      <c r="J96" s="1">
        <v>4518.79</v>
      </c>
      <c r="K96" s="1" t="s">
        <v>34</v>
      </c>
      <c r="L96" s="1" t="s">
        <v>49</v>
      </c>
      <c r="M96" s="1">
        <v>217.5</v>
      </c>
      <c r="N96" s="1">
        <v>610.80999999999995</v>
      </c>
      <c r="O96" s="1" t="s">
        <v>52</v>
      </c>
      <c r="P96" s="1">
        <v>33.020000000000003</v>
      </c>
    </row>
    <row r="97" spans="1:16" ht="13" x14ac:dyDescent="0.3">
      <c r="A97" s="1" t="s">
        <v>161</v>
      </c>
      <c r="B97" s="2">
        <v>42227</v>
      </c>
      <c r="C97" s="1">
        <v>2015</v>
      </c>
      <c r="D97" s="1" t="s">
        <v>59</v>
      </c>
      <c r="E97" s="1" t="s">
        <v>63</v>
      </c>
      <c r="F97" s="1" t="s">
        <v>33</v>
      </c>
      <c r="G97" s="1" t="s">
        <v>27</v>
      </c>
      <c r="H97" s="1">
        <v>51.23</v>
      </c>
      <c r="I97" s="1">
        <v>98.79</v>
      </c>
      <c r="J97" s="1">
        <v>1928.38</v>
      </c>
      <c r="K97" s="1" t="s">
        <v>28</v>
      </c>
      <c r="L97" s="1" t="s">
        <v>47</v>
      </c>
      <c r="M97" s="1">
        <v>106.06</v>
      </c>
      <c r="N97" s="1">
        <v>308.22000000000003</v>
      </c>
      <c r="O97" s="1" t="s">
        <v>61</v>
      </c>
      <c r="P97" s="1">
        <v>25.51</v>
      </c>
    </row>
    <row r="98" spans="1:16" ht="13" x14ac:dyDescent="0.3">
      <c r="A98" s="1" t="s">
        <v>162</v>
      </c>
      <c r="B98" s="2">
        <v>43213</v>
      </c>
      <c r="C98" s="1">
        <v>2018</v>
      </c>
      <c r="D98" s="1" t="s">
        <v>103</v>
      </c>
      <c r="E98" s="1" t="s">
        <v>107</v>
      </c>
      <c r="F98" s="1" t="s">
        <v>19</v>
      </c>
      <c r="G98" s="1" t="s">
        <v>27</v>
      </c>
      <c r="H98" s="1">
        <v>67.819999999999993</v>
      </c>
      <c r="I98" s="1">
        <v>294.37</v>
      </c>
      <c r="J98" s="1">
        <v>4340.4399999999996</v>
      </c>
      <c r="K98" s="1" t="s">
        <v>34</v>
      </c>
      <c r="L98" s="1" t="s">
        <v>22</v>
      </c>
      <c r="M98" s="1">
        <v>57.24</v>
      </c>
      <c r="N98" s="1">
        <v>473.27</v>
      </c>
      <c r="O98" s="1" t="s">
        <v>70</v>
      </c>
      <c r="P98" s="1">
        <v>33.82</v>
      </c>
    </row>
    <row r="99" spans="1:16" ht="13" x14ac:dyDescent="0.3">
      <c r="A99" s="1" t="s">
        <v>163</v>
      </c>
      <c r="B99" s="2">
        <v>43577</v>
      </c>
      <c r="C99" s="1">
        <v>2019</v>
      </c>
      <c r="D99" s="1" t="s">
        <v>103</v>
      </c>
      <c r="E99" s="1" t="s">
        <v>104</v>
      </c>
      <c r="F99" s="1" t="s">
        <v>19</v>
      </c>
      <c r="G99" s="1" t="s">
        <v>46</v>
      </c>
      <c r="H99" s="1">
        <v>7.89</v>
      </c>
      <c r="I99" s="1">
        <v>42.97</v>
      </c>
      <c r="J99" s="1">
        <v>5445.81</v>
      </c>
      <c r="K99" s="1" t="s">
        <v>21</v>
      </c>
      <c r="L99" s="1" t="s">
        <v>41</v>
      </c>
      <c r="M99" s="1">
        <v>72.94</v>
      </c>
      <c r="N99" s="1">
        <v>730.48</v>
      </c>
      <c r="O99" s="1" t="s">
        <v>52</v>
      </c>
      <c r="P99" s="1">
        <v>26.3</v>
      </c>
    </row>
    <row r="100" spans="1:16" ht="13" x14ac:dyDescent="0.3">
      <c r="A100" s="1" t="s">
        <v>164</v>
      </c>
      <c r="B100" s="2">
        <v>44609</v>
      </c>
      <c r="C100" s="1">
        <v>2021</v>
      </c>
      <c r="D100" s="1" t="s">
        <v>31</v>
      </c>
      <c r="E100" s="1" t="s">
        <v>32</v>
      </c>
      <c r="F100" s="1" t="s">
        <v>38</v>
      </c>
      <c r="G100" s="1" t="s">
        <v>27</v>
      </c>
      <c r="H100" s="1">
        <v>60.03</v>
      </c>
      <c r="I100" s="1">
        <v>378.19</v>
      </c>
      <c r="J100" s="1">
        <v>6300.05</v>
      </c>
      <c r="K100" s="1" t="s">
        <v>40</v>
      </c>
      <c r="L100" s="1" t="s">
        <v>29</v>
      </c>
      <c r="M100" s="1">
        <v>89.35</v>
      </c>
      <c r="N100" s="1">
        <v>817.84</v>
      </c>
      <c r="O100" s="1" t="s">
        <v>23</v>
      </c>
      <c r="P100" s="1">
        <v>24.08</v>
      </c>
    </row>
    <row r="101" spans="1:16" ht="13" x14ac:dyDescent="0.3">
      <c r="A101" s="1" t="s">
        <v>165</v>
      </c>
      <c r="B101" s="2">
        <v>42753</v>
      </c>
      <c r="C101" s="1">
        <v>2016</v>
      </c>
      <c r="D101" s="1" t="s">
        <v>59</v>
      </c>
      <c r="E101" s="1" t="s">
        <v>63</v>
      </c>
      <c r="F101" s="1" t="s">
        <v>38</v>
      </c>
      <c r="G101" s="1" t="s">
        <v>56</v>
      </c>
      <c r="H101" s="1">
        <v>75.739999999999995</v>
      </c>
      <c r="I101" s="1">
        <v>127.46</v>
      </c>
      <c r="J101" s="1">
        <v>1682.91</v>
      </c>
      <c r="K101" s="1" t="s">
        <v>28</v>
      </c>
      <c r="L101" s="1" t="s">
        <v>22</v>
      </c>
      <c r="M101" s="1">
        <v>77.72</v>
      </c>
      <c r="N101" s="1">
        <v>878.22</v>
      </c>
      <c r="O101" s="1" t="s">
        <v>61</v>
      </c>
      <c r="P101" s="1">
        <v>27.3</v>
      </c>
    </row>
    <row r="102" spans="1:16" ht="13" x14ac:dyDescent="0.3">
      <c r="A102" s="1" t="s">
        <v>166</v>
      </c>
      <c r="B102" s="2">
        <v>43727</v>
      </c>
      <c r="C102" s="1">
        <v>2019</v>
      </c>
      <c r="D102" s="1" t="s">
        <v>103</v>
      </c>
      <c r="E102" s="1" t="s">
        <v>107</v>
      </c>
      <c r="F102" s="1" t="s">
        <v>33</v>
      </c>
      <c r="G102" s="1" t="s">
        <v>64</v>
      </c>
      <c r="H102" s="1">
        <v>21.24</v>
      </c>
      <c r="I102" s="1">
        <v>141.71</v>
      </c>
      <c r="J102" s="1">
        <v>6671.94</v>
      </c>
      <c r="K102" s="1" t="s">
        <v>40</v>
      </c>
      <c r="L102" s="1" t="s">
        <v>41</v>
      </c>
      <c r="M102" s="1">
        <v>241.04</v>
      </c>
      <c r="N102" s="1">
        <v>489.45</v>
      </c>
      <c r="O102" s="1" t="s">
        <v>23</v>
      </c>
      <c r="P102" s="1">
        <v>20.12</v>
      </c>
    </row>
    <row r="103" spans="1:16" ht="13" x14ac:dyDescent="0.3">
      <c r="A103" s="1" t="s">
        <v>167</v>
      </c>
      <c r="B103" s="2">
        <v>43220</v>
      </c>
      <c r="C103" s="1">
        <v>2018</v>
      </c>
      <c r="D103" s="1" t="s">
        <v>103</v>
      </c>
      <c r="E103" s="1" t="s">
        <v>107</v>
      </c>
      <c r="F103" s="1" t="s">
        <v>19</v>
      </c>
      <c r="G103" s="1" t="s">
        <v>56</v>
      </c>
      <c r="H103" s="1">
        <v>50.53</v>
      </c>
      <c r="I103" s="1">
        <v>303.19</v>
      </c>
      <c r="J103" s="1">
        <v>6000.13</v>
      </c>
      <c r="K103" s="1" t="s">
        <v>34</v>
      </c>
      <c r="L103" s="1" t="s">
        <v>22</v>
      </c>
      <c r="M103" s="1">
        <v>68.02</v>
      </c>
      <c r="N103" s="1">
        <v>1061.76</v>
      </c>
      <c r="O103" s="1" t="s">
        <v>23</v>
      </c>
      <c r="P103" s="1">
        <v>26.54</v>
      </c>
    </row>
    <row r="104" spans="1:16" ht="13" x14ac:dyDescent="0.3">
      <c r="A104" s="1" t="s">
        <v>168</v>
      </c>
      <c r="B104" s="2">
        <v>43887</v>
      </c>
      <c r="C104" s="1">
        <v>2019</v>
      </c>
      <c r="D104" s="1" t="s">
        <v>44</v>
      </c>
      <c r="E104" s="1" t="s">
        <v>99</v>
      </c>
      <c r="F104" s="1" t="s">
        <v>38</v>
      </c>
      <c r="G104" s="1" t="s">
        <v>27</v>
      </c>
      <c r="H104" s="1">
        <v>41.04</v>
      </c>
      <c r="I104" s="1">
        <v>198.67</v>
      </c>
      <c r="J104" s="1">
        <v>4840.8500000000004</v>
      </c>
      <c r="K104" s="1" t="s">
        <v>34</v>
      </c>
      <c r="L104" s="1" t="s">
        <v>49</v>
      </c>
      <c r="M104" s="1">
        <v>78.790000000000006</v>
      </c>
      <c r="N104" s="1">
        <v>220.86</v>
      </c>
      <c r="O104" s="1" t="s">
        <v>70</v>
      </c>
      <c r="P104" s="1">
        <v>22.58</v>
      </c>
    </row>
    <row r="105" spans="1:16" ht="13" x14ac:dyDescent="0.3">
      <c r="A105" s="1" t="s">
        <v>169</v>
      </c>
      <c r="B105" s="2">
        <v>40738</v>
      </c>
      <c r="C105" s="1">
        <v>2011</v>
      </c>
      <c r="D105" s="1" t="s">
        <v>25</v>
      </c>
      <c r="E105" s="1" t="s">
        <v>87</v>
      </c>
      <c r="F105" s="1" t="s">
        <v>33</v>
      </c>
      <c r="G105" s="1" t="s">
        <v>46</v>
      </c>
      <c r="H105" s="1">
        <v>59.3</v>
      </c>
      <c r="I105" s="1">
        <v>245.73</v>
      </c>
      <c r="J105" s="1">
        <v>4143.78</v>
      </c>
      <c r="K105" s="1" t="s">
        <v>28</v>
      </c>
      <c r="L105" s="1" t="s">
        <v>22</v>
      </c>
      <c r="M105" s="1">
        <v>267.63</v>
      </c>
      <c r="N105" s="1">
        <v>945.8</v>
      </c>
      <c r="O105" s="1" t="s">
        <v>42</v>
      </c>
      <c r="P105" s="1">
        <v>25</v>
      </c>
    </row>
    <row r="106" spans="1:16" ht="13" x14ac:dyDescent="0.3">
      <c r="A106" s="1" t="s">
        <v>170</v>
      </c>
      <c r="B106" s="2">
        <v>40643</v>
      </c>
      <c r="C106" s="1">
        <v>2011</v>
      </c>
      <c r="D106" s="1" t="s">
        <v>59</v>
      </c>
      <c r="E106" s="1" t="s">
        <v>93</v>
      </c>
      <c r="F106" s="1" t="s">
        <v>19</v>
      </c>
      <c r="G106" s="1" t="s">
        <v>27</v>
      </c>
      <c r="H106" s="1">
        <v>20.2</v>
      </c>
      <c r="I106" s="1">
        <v>114.28</v>
      </c>
      <c r="J106" s="1">
        <v>5657.37</v>
      </c>
      <c r="K106" s="1" t="s">
        <v>34</v>
      </c>
      <c r="L106" s="1" t="s">
        <v>49</v>
      </c>
      <c r="M106" s="1">
        <v>231.84</v>
      </c>
      <c r="N106" s="1">
        <v>1018.95</v>
      </c>
      <c r="O106" s="1" t="s">
        <v>42</v>
      </c>
      <c r="P106" s="1">
        <v>23.54</v>
      </c>
    </row>
    <row r="107" spans="1:16" ht="13" x14ac:dyDescent="0.3">
      <c r="A107" s="1" t="s">
        <v>171</v>
      </c>
      <c r="B107" s="2">
        <v>43761</v>
      </c>
      <c r="C107" s="1">
        <v>2019</v>
      </c>
      <c r="D107" s="1" t="s">
        <v>103</v>
      </c>
      <c r="E107" s="1" t="s">
        <v>104</v>
      </c>
      <c r="F107" s="1" t="s">
        <v>33</v>
      </c>
      <c r="G107" s="1" t="s">
        <v>39</v>
      </c>
      <c r="H107" s="1">
        <v>8.4600000000000009</v>
      </c>
      <c r="I107" s="1">
        <v>56.75</v>
      </c>
      <c r="J107" s="1">
        <v>6707.75</v>
      </c>
      <c r="K107" s="1" t="s">
        <v>28</v>
      </c>
      <c r="L107" s="1" t="s">
        <v>47</v>
      </c>
      <c r="M107" s="1">
        <v>165.99</v>
      </c>
      <c r="N107" s="1">
        <v>763.74</v>
      </c>
      <c r="O107" s="1" t="s">
        <v>61</v>
      </c>
      <c r="P107" s="1">
        <v>26.73</v>
      </c>
    </row>
    <row r="108" spans="1:16" ht="13" x14ac:dyDescent="0.3">
      <c r="A108" s="1" t="s">
        <v>172</v>
      </c>
      <c r="B108" s="2">
        <v>42235</v>
      </c>
      <c r="C108" s="1">
        <v>2015</v>
      </c>
      <c r="D108" s="1" t="s">
        <v>31</v>
      </c>
      <c r="E108" s="1" t="s">
        <v>117</v>
      </c>
      <c r="F108" s="1" t="s">
        <v>33</v>
      </c>
      <c r="G108" s="1" t="s">
        <v>46</v>
      </c>
      <c r="H108" s="1">
        <v>7.76</v>
      </c>
      <c r="I108" s="1">
        <v>28.35</v>
      </c>
      <c r="J108" s="1">
        <v>3653.25</v>
      </c>
      <c r="K108" s="1" t="s">
        <v>34</v>
      </c>
      <c r="L108" s="1" t="s">
        <v>29</v>
      </c>
      <c r="M108" s="1">
        <v>249.08</v>
      </c>
      <c r="N108" s="1">
        <v>791.42</v>
      </c>
      <c r="O108" s="1" t="s">
        <v>70</v>
      </c>
      <c r="P108" s="1">
        <v>27.61</v>
      </c>
    </row>
    <row r="109" spans="1:16" ht="13" x14ac:dyDescent="0.3">
      <c r="A109" s="1" t="s">
        <v>173</v>
      </c>
      <c r="B109" s="2">
        <v>40493</v>
      </c>
      <c r="C109" s="1">
        <v>2010</v>
      </c>
      <c r="D109" s="1" t="s">
        <v>36</v>
      </c>
      <c r="E109" s="1" t="s">
        <v>37</v>
      </c>
      <c r="F109" s="1" t="s">
        <v>38</v>
      </c>
      <c r="G109" s="1" t="s">
        <v>20</v>
      </c>
      <c r="H109" s="1">
        <v>8.6</v>
      </c>
      <c r="I109" s="1">
        <v>53.2</v>
      </c>
      <c r="J109" s="1">
        <v>6185.5</v>
      </c>
      <c r="K109" s="1" t="s">
        <v>21</v>
      </c>
      <c r="L109" s="1" t="s">
        <v>29</v>
      </c>
      <c r="M109" s="1">
        <v>203.75</v>
      </c>
      <c r="N109" s="1">
        <v>707.07</v>
      </c>
      <c r="O109" s="1" t="s">
        <v>52</v>
      </c>
      <c r="P109" s="1">
        <v>28.7</v>
      </c>
    </row>
    <row r="110" spans="1:16" ht="13" x14ac:dyDescent="0.3">
      <c r="A110" s="1" t="s">
        <v>174</v>
      </c>
      <c r="B110" s="2">
        <v>44004</v>
      </c>
      <c r="C110" s="1">
        <v>2020</v>
      </c>
      <c r="D110" s="1" t="s">
        <v>44</v>
      </c>
      <c r="E110" s="1" t="s">
        <v>67</v>
      </c>
      <c r="F110" s="1" t="s">
        <v>33</v>
      </c>
      <c r="G110" s="1" t="s">
        <v>20</v>
      </c>
      <c r="H110" s="1">
        <v>60.9</v>
      </c>
      <c r="I110" s="1">
        <v>244.1</v>
      </c>
      <c r="J110" s="1">
        <v>4008.2</v>
      </c>
      <c r="K110" s="1" t="s">
        <v>21</v>
      </c>
      <c r="L110" s="1" t="s">
        <v>47</v>
      </c>
      <c r="M110" s="1">
        <v>162.63</v>
      </c>
      <c r="N110" s="1">
        <v>1010.97</v>
      </c>
      <c r="O110" s="1" t="s">
        <v>70</v>
      </c>
      <c r="P110" s="1">
        <v>34.74</v>
      </c>
    </row>
    <row r="111" spans="1:16" ht="13" x14ac:dyDescent="0.3">
      <c r="A111" s="1" t="s">
        <v>175</v>
      </c>
      <c r="B111" s="2">
        <v>40416</v>
      </c>
      <c r="C111" s="1">
        <v>2010</v>
      </c>
      <c r="D111" s="1" t="s">
        <v>17</v>
      </c>
      <c r="E111" s="1" t="s">
        <v>18</v>
      </c>
      <c r="F111" s="1" t="s">
        <v>33</v>
      </c>
      <c r="G111" s="1" t="s">
        <v>39</v>
      </c>
      <c r="H111" s="1">
        <v>44.34</v>
      </c>
      <c r="I111" s="1">
        <v>161.24</v>
      </c>
      <c r="J111" s="1">
        <v>3636.53</v>
      </c>
      <c r="K111" s="1" t="s">
        <v>40</v>
      </c>
      <c r="L111" s="1" t="s">
        <v>47</v>
      </c>
      <c r="M111" s="1">
        <v>140.97</v>
      </c>
      <c r="N111" s="1">
        <v>1117.94</v>
      </c>
      <c r="O111" s="1" t="s">
        <v>52</v>
      </c>
      <c r="P111" s="1">
        <v>26.13</v>
      </c>
    </row>
    <row r="112" spans="1:16" ht="13" x14ac:dyDescent="0.3">
      <c r="A112" s="1" t="s">
        <v>176</v>
      </c>
      <c r="B112" s="2">
        <v>44221</v>
      </c>
      <c r="C112" s="1">
        <v>2020</v>
      </c>
      <c r="D112" s="1" t="s">
        <v>25</v>
      </c>
      <c r="E112" s="1" t="s">
        <v>69</v>
      </c>
      <c r="F112" s="1" t="s">
        <v>38</v>
      </c>
      <c r="G112" s="1" t="s">
        <v>64</v>
      </c>
      <c r="H112" s="1">
        <v>33.64</v>
      </c>
      <c r="I112" s="1">
        <v>146.26</v>
      </c>
      <c r="J112" s="1">
        <v>4347.78</v>
      </c>
      <c r="K112" s="1" t="s">
        <v>28</v>
      </c>
      <c r="L112" s="1" t="s">
        <v>22</v>
      </c>
      <c r="M112" s="1">
        <v>121.04</v>
      </c>
      <c r="N112" s="1">
        <v>923.73</v>
      </c>
      <c r="O112" s="1" t="s">
        <v>61</v>
      </c>
      <c r="P112" s="1">
        <v>33.1</v>
      </c>
    </row>
    <row r="113" spans="1:16" ht="13" x14ac:dyDescent="0.3">
      <c r="A113" s="1" t="s">
        <v>177</v>
      </c>
      <c r="B113" s="2">
        <v>41310</v>
      </c>
      <c r="C113" s="1">
        <v>2012</v>
      </c>
      <c r="D113" s="1" t="s">
        <v>59</v>
      </c>
      <c r="E113" s="1" t="s">
        <v>93</v>
      </c>
      <c r="F113" s="1" t="s">
        <v>38</v>
      </c>
      <c r="G113" s="1" t="s">
        <v>20</v>
      </c>
      <c r="H113" s="1">
        <v>96.8</v>
      </c>
      <c r="I113" s="1">
        <v>502.48</v>
      </c>
      <c r="J113" s="1">
        <v>5190.88</v>
      </c>
      <c r="K113" s="1" t="s">
        <v>28</v>
      </c>
      <c r="L113" s="1" t="s">
        <v>49</v>
      </c>
      <c r="M113" s="1">
        <v>82.24</v>
      </c>
      <c r="N113" s="1">
        <v>908.83</v>
      </c>
      <c r="O113" s="1" t="s">
        <v>23</v>
      </c>
      <c r="P113" s="1">
        <v>24.64</v>
      </c>
    </row>
    <row r="114" spans="1:16" ht="13" x14ac:dyDescent="0.3">
      <c r="A114" s="1" t="s">
        <v>178</v>
      </c>
      <c r="B114" s="2">
        <v>43941</v>
      </c>
      <c r="C114" s="1">
        <v>2020</v>
      </c>
      <c r="D114" s="1" t="s">
        <v>44</v>
      </c>
      <c r="E114" s="1" t="s">
        <v>45</v>
      </c>
      <c r="F114" s="1" t="s">
        <v>19</v>
      </c>
      <c r="G114" s="1" t="s">
        <v>39</v>
      </c>
      <c r="H114" s="1">
        <v>99.72</v>
      </c>
      <c r="I114" s="1">
        <v>645.66</v>
      </c>
      <c r="J114" s="1">
        <v>6474.69</v>
      </c>
      <c r="K114" s="1" t="s">
        <v>21</v>
      </c>
      <c r="L114" s="1" t="s">
        <v>41</v>
      </c>
      <c r="M114" s="1">
        <v>211.51</v>
      </c>
      <c r="N114" s="1">
        <v>623.41</v>
      </c>
      <c r="O114" s="1" t="s">
        <v>70</v>
      </c>
      <c r="P114" s="1">
        <v>20.27</v>
      </c>
    </row>
    <row r="115" spans="1:16" ht="13" x14ac:dyDescent="0.3">
      <c r="A115" s="1" t="s">
        <v>179</v>
      </c>
      <c r="B115" s="2">
        <v>45000</v>
      </c>
      <c r="C115" s="1">
        <v>2022</v>
      </c>
      <c r="D115" s="1" t="s">
        <v>103</v>
      </c>
      <c r="E115" s="1" t="s">
        <v>107</v>
      </c>
      <c r="F115" s="1" t="s">
        <v>38</v>
      </c>
      <c r="G115" s="1" t="s">
        <v>56</v>
      </c>
      <c r="H115" s="1">
        <v>23.43</v>
      </c>
      <c r="I115" s="1">
        <v>42.77</v>
      </c>
      <c r="J115" s="1">
        <v>1825.39</v>
      </c>
      <c r="K115" s="1" t="s">
        <v>21</v>
      </c>
      <c r="L115" s="1" t="s">
        <v>22</v>
      </c>
      <c r="M115" s="1">
        <v>123.95</v>
      </c>
      <c r="N115" s="1">
        <v>988.12</v>
      </c>
      <c r="O115" s="1" t="s">
        <v>61</v>
      </c>
      <c r="P115" s="1">
        <v>31.56</v>
      </c>
    </row>
    <row r="116" spans="1:16" ht="13" x14ac:dyDescent="0.3">
      <c r="A116" s="1" t="s">
        <v>180</v>
      </c>
      <c r="B116" s="2">
        <v>44654</v>
      </c>
      <c r="C116" s="1">
        <v>2022</v>
      </c>
      <c r="D116" s="1" t="s">
        <v>17</v>
      </c>
      <c r="E116" s="1" t="s">
        <v>72</v>
      </c>
      <c r="F116" s="1" t="s">
        <v>19</v>
      </c>
      <c r="G116" s="1" t="s">
        <v>56</v>
      </c>
      <c r="H116" s="1">
        <v>60.13</v>
      </c>
      <c r="I116" s="1">
        <v>115.78</v>
      </c>
      <c r="J116" s="1">
        <v>1925.52</v>
      </c>
      <c r="K116" s="1" t="s">
        <v>40</v>
      </c>
      <c r="L116" s="1" t="s">
        <v>29</v>
      </c>
      <c r="M116" s="1">
        <v>257.83999999999997</v>
      </c>
      <c r="N116" s="1">
        <v>971.1</v>
      </c>
      <c r="O116" s="1" t="s">
        <v>42</v>
      </c>
      <c r="P116" s="1">
        <v>30.82</v>
      </c>
    </row>
    <row r="117" spans="1:16" ht="13" x14ac:dyDescent="0.3">
      <c r="A117" s="1" t="s">
        <v>181</v>
      </c>
      <c r="B117" s="2">
        <v>44397</v>
      </c>
      <c r="C117" s="1">
        <v>2021</v>
      </c>
      <c r="D117" s="1" t="s">
        <v>31</v>
      </c>
      <c r="E117" s="1" t="s">
        <v>117</v>
      </c>
      <c r="F117" s="1" t="s">
        <v>33</v>
      </c>
      <c r="G117" s="1" t="s">
        <v>46</v>
      </c>
      <c r="H117" s="1">
        <v>61.45</v>
      </c>
      <c r="I117" s="1">
        <v>338.86</v>
      </c>
      <c r="J117" s="1">
        <v>5514.35</v>
      </c>
      <c r="K117" s="1" t="s">
        <v>28</v>
      </c>
      <c r="L117" s="1" t="s">
        <v>49</v>
      </c>
      <c r="M117" s="1">
        <v>108.5</v>
      </c>
      <c r="N117" s="1">
        <v>439.17</v>
      </c>
      <c r="O117" s="1" t="s">
        <v>52</v>
      </c>
      <c r="P117" s="1">
        <v>33.56</v>
      </c>
    </row>
    <row r="118" spans="1:16" ht="13" x14ac:dyDescent="0.3">
      <c r="A118" s="1" t="s">
        <v>182</v>
      </c>
      <c r="B118" s="2">
        <v>43104</v>
      </c>
      <c r="C118" s="1">
        <v>2017</v>
      </c>
      <c r="D118" s="1" t="s">
        <v>17</v>
      </c>
      <c r="E118" s="1" t="s">
        <v>54</v>
      </c>
      <c r="F118" s="1" t="s">
        <v>38</v>
      </c>
      <c r="G118" s="1" t="s">
        <v>20</v>
      </c>
      <c r="H118" s="1">
        <v>78.03</v>
      </c>
      <c r="I118" s="1">
        <v>313.48</v>
      </c>
      <c r="J118" s="1">
        <v>4017.44</v>
      </c>
      <c r="K118" s="1" t="s">
        <v>28</v>
      </c>
      <c r="L118" s="1" t="s">
        <v>22</v>
      </c>
      <c r="M118" s="1">
        <v>291.57</v>
      </c>
      <c r="N118" s="1">
        <v>1016.89</v>
      </c>
      <c r="O118" s="1" t="s">
        <v>61</v>
      </c>
      <c r="P118" s="1">
        <v>22.08</v>
      </c>
    </row>
    <row r="119" spans="1:16" ht="13" x14ac:dyDescent="0.3">
      <c r="A119" s="1" t="s">
        <v>183</v>
      </c>
      <c r="B119" s="2">
        <v>42127</v>
      </c>
      <c r="C119" s="1">
        <v>2015</v>
      </c>
      <c r="D119" s="1" t="s">
        <v>17</v>
      </c>
      <c r="E119" s="1" t="s">
        <v>72</v>
      </c>
      <c r="F119" s="1" t="s">
        <v>19</v>
      </c>
      <c r="G119" s="1" t="s">
        <v>64</v>
      </c>
      <c r="H119" s="1">
        <v>71.430000000000007</v>
      </c>
      <c r="I119" s="1">
        <v>292.54000000000002</v>
      </c>
      <c r="J119" s="1">
        <v>4095.46</v>
      </c>
      <c r="K119" s="1" t="s">
        <v>21</v>
      </c>
      <c r="L119" s="1" t="s">
        <v>41</v>
      </c>
      <c r="M119" s="1">
        <v>121.27</v>
      </c>
      <c r="N119" s="1">
        <v>963.12</v>
      </c>
      <c r="O119" s="1" t="s">
        <v>70</v>
      </c>
      <c r="P119" s="1">
        <v>26.74</v>
      </c>
    </row>
    <row r="120" spans="1:16" ht="13" x14ac:dyDescent="0.3">
      <c r="A120" s="1" t="s">
        <v>184</v>
      </c>
      <c r="B120" s="2">
        <v>40715</v>
      </c>
      <c r="C120" s="1">
        <v>2011</v>
      </c>
      <c r="D120" s="1" t="s">
        <v>44</v>
      </c>
      <c r="E120" s="1" t="s">
        <v>99</v>
      </c>
      <c r="F120" s="1" t="s">
        <v>33</v>
      </c>
      <c r="G120" s="1" t="s">
        <v>46</v>
      </c>
      <c r="H120" s="1">
        <v>88.58</v>
      </c>
      <c r="I120" s="1">
        <v>583.11</v>
      </c>
      <c r="J120" s="1">
        <v>6582.83</v>
      </c>
      <c r="K120" s="1" t="s">
        <v>28</v>
      </c>
      <c r="L120" s="1" t="s">
        <v>49</v>
      </c>
      <c r="M120" s="1">
        <v>63.31</v>
      </c>
      <c r="N120" s="1">
        <v>702.01</v>
      </c>
      <c r="O120" s="1" t="s">
        <v>42</v>
      </c>
      <c r="P120" s="1">
        <v>25.79</v>
      </c>
    </row>
    <row r="121" spans="1:16" ht="13" x14ac:dyDescent="0.3">
      <c r="A121" s="1" t="s">
        <v>185</v>
      </c>
      <c r="B121" s="2">
        <v>42191</v>
      </c>
      <c r="C121" s="1">
        <v>2015</v>
      </c>
      <c r="D121" s="1" t="s">
        <v>103</v>
      </c>
      <c r="E121" s="1" t="s">
        <v>104</v>
      </c>
      <c r="F121" s="1" t="s">
        <v>33</v>
      </c>
      <c r="G121" s="1" t="s">
        <v>39</v>
      </c>
      <c r="H121" s="1">
        <v>65.349999999999994</v>
      </c>
      <c r="I121" s="1">
        <v>375.65</v>
      </c>
      <c r="J121" s="1">
        <v>5748.28</v>
      </c>
      <c r="K121" s="1" t="s">
        <v>40</v>
      </c>
      <c r="L121" s="1" t="s">
        <v>29</v>
      </c>
      <c r="M121" s="1">
        <v>59.58</v>
      </c>
      <c r="N121" s="1">
        <v>1117.4000000000001</v>
      </c>
      <c r="O121" s="1" t="s">
        <v>52</v>
      </c>
      <c r="P121" s="1">
        <v>30.44</v>
      </c>
    </row>
    <row r="122" spans="1:16" ht="13" x14ac:dyDescent="0.3">
      <c r="A122" s="1" t="s">
        <v>186</v>
      </c>
      <c r="B122" s="2">
        <v>40391</v>
      </c>
      <c r="C122" s="1">
        <v>2010</v>
      </c>
      <c r="D122" s="1" t="s">
        <v>36</v>
      </c>
      <c r="E122" s="1" t="s">
        <v>77</v>
      </c>
      <c r="F122" s="1" t="s">
        <v>33</v>
      </c>
      <c r="G122" s="1" t="s">
        <v>64</v>
      </c>
      <c r="H122" s="1">
        <v>26.34</v>
      </c>
      <c r="I122" s="1">
        <v>158.30000000000001</v>
      </c>
      <c r="J122" s="1">
        <v>6009.78</v>
      </c>
      <c r="K122" s="1" t="s">
        <v>28</v>
      </c>
      <c r="L122" s="1" t="s">
        <v>29</v>
      </c>
      <c r="M122" s="1">
        <v>77.8</v>
      </c>
      <c r="N122" s="1">
        <v>488.1</v>
      </c>
      <c r="O122" s="1" t="s">
        <v>70</v>
      </c>
      <c r="P122" s="1">
        <v>21.83</v>
      </c>
    </row>
    <row r="123" spans="1:16" ht="13" x14ac:dyDescent="0.3">
      <c r="A123" s="1" t="s">
        <v>187</v>
      </c>
      <c r="B123" s="2">
        <v>42887</v>
      </c>
      <c r="C123" s="1">
        <v>2017</v>
      </c>
      <c r="D123" s="1" t="s">
        <v>17</v>
      </c>
      <c r="E123" s="1" t="s">
        <v>54</v>
      </c>
      <c r="F123" s="1" t="s">
        <v>33</v>
      </c>
      <c r="G123" s="1" t="s">
        <v>64</v>
      </c>
      <c r="H123" s="1">
        <v>83.83</v>
      </c>
      <c r="I123" s="1">
        <v>335.23</v>
      </c>
      <c r="J123" s="1">
        <v>3998.98</v>
      </c>
      <c r="K123" s="1" t="s">
        <v>21</v>
      </c>
      <c r="L123" s="1" t="s">
        <v>47</v>
      </c>
      <c r="M123" s="1">
        <v>207.99</v>
      </c>
      <c r="N123" s="1">
        <v>775.05</v>
      </c>
      <c r="O123" s="1" t="s">
        <v>42</v>
      </c>
      <c r="P123" s="1">
        <v>24.37</v>
      </c>
    </row>
    <row r="124" spans="1:16" ht="13" x14ac:dyDescent="0.3">
      <c r="A124" s="1" t="s">
        <v>188</v>
      </c>
      <c r="B124" s="2">
        <v>43899</v>
      </c>
      <c r="C124" s="1">
        <v>2019</v>
      </c>
      <c r="D124" s="1" t="s">
        <v>31</v>
      </c>
      <c r="E124" s="1" t="s">
        <v>82</v>
      </c>
      <c r="F124" s="1" t="s">
        <v>38</v>
      </c>
      <c r="G124" s="1" t="s">
        <v>56</v>
      </c>
      <c r="H124" s="1">
        <v>66.77</v>
      </c>
      <c r="I124" s="1">
        <v>101.07</v>
      </c>
      <c r="J124" s="1">
        <v>1513.68</v>
      </c>
      <c r="K124" s="1" t="s">
        <v>34</v>
      </c>
      <c r="L124" s="1" t="s">
        <v>47</v>
      </c>
      <c r="M124" s="1">
        <v>66.92</v>
      </c>
      <c r="N124" s="1">
        <v>726.06</v>
      </c>
      <c r="O124" s="1" t="s">
        <v>61</v>
      </c>
      <c r="P124" s="1">
        <v>31.8</v>
      </c>
    </row>
    <row r="125" spans="1:16" ht="13" x14ac:dyDescent="0.3">
      <c r="A125" s="1" t="s">
        <v>189</v>
      </c>
      <c r="B125" s="2">
        <v>42913</v>
      </c>
      <c r="C125" s="1">
        <v>2017</v>
      </c>
      <c r="D125" s="1" t="s">
        <v>25</v>
      </c>
      <c r="E125" s="1" t="s">
        <v>87</v>
      </c>
      <c r="F125" s="1" t="s">
        <v>33</v>
      </c>
      <c r="G125" s="1" t="s">
        <v>39</v>
      </c>
      <c r="H125" s="1">
        <v>39.299999999999997</v>
      </c>
      <c r="I125" s="1">
        <v>127.32</v>
      </c>
      <c r="J125" s="1">
        <v>3239.81</v>
      </c>
      <c r="K125" s="1" t="s">
        <v>21</v>
      </c>
      <c r="L125" s="1" t="s">
        <v>47</v>
      </c>
      <c r="M125" s="1">
        <v>139.27000000000001</v>
      </c>
      <c r="N125" s="1">
        <v>267.56</v>
      </c>
      <c r="O125" s="1" t="s">
        <v>42</v>
      </c>
      <c r="P125" s="1">
        <v>30.99</v>
      </c>
    </row>
    <row r="126" spans="1:16" ht="13" x14ac:dyDescent="0.3">
      <c r="A126" s="1" t="s">
        <v>190</v>
      </c>
      <c r="B126" s="2">
        <v>41095</v>
      </c>
      <c r="C126" s="1">
        <v>2012</v>
      </c>
      <c r="D126" s="1" t="s">
        <v>17</v>
      </c>
      <c r="E126" s="1" t="s">
        <v>72</v>
      </c>
      <c r="F126" s="1" t="s">
        <v>33</v>
      </c>
      <c r="G126" s="1" t="s">
        <v>20</v>
      </c>
      <c r="H126" s="1">
        <v>55.06</v>
      </c>
      <c r="I126" s="1">
        <v>323.81</v>
      </c>
      <c r="J126" s="1">
        <v>5881.05</v>
      </c>
      <c r="K126" s="1" t="s">
        <v>40</v>
      </c>
      <c r="L126" s="1" t="s">
        <v>22</v>
      </c>
      <c r="M126" s="1">
        <v>257.60000000000002</v>
      </c>
      <c r="N126" s="1">
        <v>884.68</v>
      </c>
      <c r="O126" s="1" t="s">
        <v>52</v>
      </c>
      <c r="P126" s="1">
        <v>29.48</v>
      </c>
    </row>
    <row r="127" spans="1:16" ht="13" x14ac:dyDescent="0.3">
      <c r="A127" s="1" t="s">
        <v>191</v>
      </c>
      <c r="B127" s="2">
        <v>40622</v>
      </c>
      <c r="C127" s="1">
        <v>2010</v>
      </c>
      <c r="D127" s="1" t="s">
        <v>17</v>
      </c>
      <c r="E127" s="1" t="s">
        <v>72</v>
      </c>
      <c r="F127" s="1" t="s">
        <v>38</v>
      </c>
      <c r="G127" s="1" t="s">
        <v>56</v>
      </c>
      <c r="H127" s="1">
        <v>5.34</v>
      </c>
      <c r="I127" s="1">
        <v>11.73</v>
      </c>
      <c r="J127" s="1">
        <v>2196.8200000000002</v>
      </c>
      <c r="K127" s="1" t="s">
        <v>21</v>
      </c>
      <c r="L127" s="1" t="s">
        <v>29</v>
      </c>
      <c r="M127" s="1">
        <v>128.9</v>
      </c>
      <c r="N127" s="1">
        <v>510.08</v>
      </c>
      <c r="O127" s="1" t="s">
        <v>52</v>
      </c>
      <c r="P127" s="1">
        <v>34.840000000000003</v>
      </c>
    </row>
    <row r="128" spans="1:16" ht="13" x14ac:dyDescent="0.3">
      <c r="A128" s="1" t="s">
        <v>192</v>
      </c>
      <c r="B128" s="2">
        <v>44679</v>
      </c>
      <c r="C128" s="1">
        <v>2022</v>
      </c>
      <c r="D128" s="1" t="s">
        <v>31</v>
      </c>
      <c r="E128" s="1" t="s">
        <v>82</v>
      </c>
      <c r="F128" s="1" t="s">
        <v>19</v>
      </c>
      <c r="G128" s="1" t="s">
        <v>56</v>
      </c>
      <c r="H128" s="1">
        <v>29.32</v>
      </c>
      <c r="I128" s="1">
        <v>180.99</v>
      </c>
      <c r="J128" s="1">
        <v>6172.83</v>
      </c>
      <c r="K128" s="1" t="s">
        <v>21</v>
      </c>
      <c r="L128" s="1" t="s">
        <v>29</v>
      </c>
      <c r="M128" s="1">
        <v>266.45</v>
      </c>
      <c r="N128" s="1">
        <v>531.91999999999996</v>
      </c>
      <c r="O128" s="1" t="s">
        <v>23</v>
      </c>
      <c r="P128" s="1">
        <v>31.99</v>
      </c>
    </row>
    <row r="129" spans="1:16" ht="13" x14ac:dyDescent="0.3">
      <c r="A129" s="1" t="s">
        <v>193</v>
      </c>
      <c r="B129" s="2">
        <v>42721</v>
      </c>
      <c r="C129" s="1">
        <v>2016</v>
      </c>
      <c r="D129" s="1" t="s">
        <v>17</v>
      </c>
      <c r="E129" s="1" t="s">
        <v>72</v>
      </c>
      <c r="F129" s="1" t="s">
        <v>38</v>
      </c>
      <c r="G129" s="1" t="s">
        <v>56</v>
      </c>
      <c r="H129" s="1">
        <v>50.12</v>
      </c>
      <c r="I129" s="1">
        <v>199.74</v>
      </c>
      <c r="J129" s="1">
        <v>3985.14</v>
      </c>
      <c r="K129" s="1" t="s">
        <v>34</v>
      </c>
      <c r="L129" s="1" t="s">
        <v>47</v>
      </c>
      <c r="M129" s="1">
        <v>250.29</v>
      </c>
      <c r="N129" s="1">
        <v>927.08</v>
      </c>
      <c r="O129" s="1" t="s">
        <v>23</v>
      </c>
      <c r="P129" s="1">
        <v>26.46</v>
      </c>
    </row>
    <row r="130" spans="1:16" ht="13" x14ac:dyDescent="0.3">
      <c r="A130" s="1" t="s">
        <v>194</v>
      </c>
      <c r="B130" s="2">
        <v>40785</v>
      </c>
      <c r="C130" s="1">
        <v>2011</v>
      </c>
      <c r="D130" s="1" t="s">
        <v>31</v>
      </c>
      <c r="E130" s="1" t="s">
        <v>32</v>
      </c>
      <c r="F130" s="1" t="s">
        <v>33</v>
      </c>
      <c r="G130" s="1" t="s">
        <v>20</v>
      </c>
      <c r="H130" s="1">
        <v>66.430000000000007</v>
      </c>
      <c r="I130" s="1">
        <v>188.59</v>
      </c>
      <c r="J130" s="1">
        <v>2838.98</v>
      </c>
      <c r="K130" s="1" t="s">
        <v>28</v>
      </c>
      <c r="L130" s="1" t="s">
        <v>47</v>
      </c>
      <c r="M130" s="1">
        <v>91.66</v>
      </c>
      <c r="N130" s="1">
        <v>643.91</v>
      </c>
      <c r="O130" s="1" t="s">
        <v>52</v>
      </c>
      <c r="P130" s="1">
        <v>20.64</v>
      </c>
    </row>
    <row r="131" spans="1:16" ht="13" x14ac:dyDescent="0.3">
      <c r="A131" s="1" t="s">
        <v>195</v>
      </c>
      <c r="B131" s="2">
        <v>44095</v>
      </c>
      <c r="C131" s="1">
        <v>2020</v>
      </c>
      <c r="D131" s="1" t="s">
        <v>36</v>
      </c>
      <c r="E131" s="1" t="s">
        <v>51</v>
      </c>
      <c r="F131" s="1" t="s">
        <v>33</v>
      </c>
      <c r="G131" s="1" t="s">
        <v>64</v>
      </c>
      <c r="H131" s="1">
        <v>67.45</v>
      </c>
      <c r="I131" s="1">
        <v>231.84</v>
      </c>
      <c r="J131" s="1">
        <v>3437.26</v>
      </c>
      <c r="K131" s="1" t="s">
        <v>40</v>
      </c>
      <c r="L131" s="1" t="s">
        <v>22</v>
      </c>
      <c r="M131" s="1">
        <v>288.2</v>
      </c>
      <c r="N131" s="1">
        <v>342.78</v>
      </c>
      <c r="O131" s="1" t="s">
        <v>61</v>
      </c>
      <c r="P131" s="1">
        <v>30.17</v>
      </c>
    </row>
    <row r="132" spans="1:16" ht="13" x14ac:dyDescent="0.3">
      <c r="A132" s="1" t="s">
        <v>196</v>
      </c>
      <c r="B132" s="2">
        <v>41413</v>
      </c>
      <c r="C132" s="1">
        <v>2013</v>
      </c>
      <c r="D132" s="1" t="s">
        <v>103</v>
      </c>
      <c r="E132" s="1" t="s">
        <v>104</v>
      </c>
      <c r="F132" s="1" t="s">
        <v>19</v>
      </c>
      <c r="G132" s="1" t="s">
        <v>20</v>
      </c>
      <c r="H132" s="1">
        <v>36.85</v>
      </c>
      <c r="I132" s="1">
        <v>246.78</v>
      </c>
      <c r="J132" s="1">
        <v>6696.8</v>
      </c>
      <c r="K132" s="1" t="s">
        <v>21</v>
      </c>
      <c r="L132" s="1" t="s">
        <v>22</v>
      </c>
      <c r="M132" s="1">
        <v>201.27</v>
      </c>
      <c r="N132" s="1">
        <v>879.06</v>
      </c>
      <c r="O132" s="1" t="s">
        <v>70</v>
      </c>
      <c r="P132" s="1">
        <v>25.58</v>
      </c>
    </row>
    <row r="133" spans="1:16" ht="13" x14ac:dyDescent="0.3">
      <c r="A133" s="1" t="s">
        <v>197</v>
      </c>
      <c r="B133" s="2">
        <v>43548</v>
      </c>
      <c r="C133" s="1">
        <v>2018</v>
      </c>
      <c r="D133" s="1" t="s">
        <v>59</v>
      </c>
      <c r="E133" s="1" t="s">
        <v>60</v>
      </c>
      <c r="F133" s="1" t="s">
        <v>38</v>
      </c>
      <c r="G133" s="1" t="s">
        <v>46</v>
      </c>
      <c r="H133" s="1">
        <v>32.119999999999997</v>
      </c>
      <c r="I133" s="1">
        <v>85.83</v>
      </c>
      <c r="J133" s="1">
        <v>2672.14</v>
      </c>
      <c r="K133" s="1" t="s">
        <v>21</v>
      </c>
      <c r="L133" s="1" t="s">
        <v>22</v>
      </c>
      <c r="M133" s="1">
        <v>56.48</v>
      </c>
      <c r="N133" s="1">
        <v>386.05</v>
      </c>
      <c r="O133" s="1" t="s">
        <v>61</v>
      </c>
      <c r="P133" s="1">
        <v>25.8</v>
      </c>
    </row>
    <row r="134" spans="1:16" ht="13" x14ac:dyDescent="0.3">
      <c r="A134" s="1" t="s">
        <v>198</v>
      </c>
      <c r="B134" s="2">
        <v>44614</v>
      </c>
      <c r="C134" s="1">
        <v>2021</v>
      </c>
      <c r="D134" s="1" t="s">
        <v>31</v>
      </c>
      <c r="E134" s="1" t="s">
        <v>32</v>
      </c>
      <c r="F134" s="1" t="s">
        <v>38</v>
      </c>
      <c r="G134" s="1" t="s">
        <v>56</v>
      </c>
      <c r="H134" s="1">
        <v>99.64</v>
      </c>
      <c r="I134" s="1">
        <v>270.37</v>
      </c>
      <c r="J134" s="1">
        <v>2713.46</v>
      </c>
      <c r="K134" s="1" t="s">
        <v>28</v>
      </c>
      <c r="L134" s="1" t="s">
        <v>22</v>
      </c>
      <c r="M134" s="1">
        <v>100.04</v>
      </c>
      <c r="N134" s="1">
        <v>335.73</v>
      </c>
      <c r="O134" s="1" t="s">
        <v>23</v>
      </c>
      <c r="P134" s="1">
        <v>26.78</v>
      </c>
    </row>
    <row r="135" spans="1:16" ht="13" x14ac:dyDescent="0.3">
      <c r="A135" s="1" t="s">
        <v>199</v>
      </c>
      <c r="B135" s="2">
        <v>42127</v>
      </c>
      <c r="C135" s="1">
        <v>2015</v>
      </c>
      <c r="D135" s="1" t="s">
        <v>44</v>
      </c>
      <c r="E135" s="1" t="s">
        <v>67</v>
      </c>
      <c r="F135" s="1" t="s">
        <v>19</v>
      </c>
      <c r="G135" s="1" t="s">
        <v>20</v>
      </c>
      <c r="H135" s="1">
        <v>71.239999999999995</v>
      </c>
      <c r="I135" s="1">
        <v>306.33</v>
      </c>
      <c r="J135" s="1">
        <v>4299.9799999999996</v>
      </c>
      <c r="K135" s="1" t="s">
        <v>34</v>
      </c>
      <c r="L135" s="1" t="s">
        <v>41</v>
      </c>
      <c r="M135" s="1">
        <v>272.83</v>
      </c>
      <c r="N135" s="1">
        <v>1051.3599999999999</v>
      </c>
      <c r="O135" s="1" t="s">
        <v>42</v>
      </c>
      <c r="P135" s="1">
        <v>31.91</v>
      </c>
    </row>
    <row r="136" spans="1:16" ht="13" x14ac:dyDescent="0.3">
      <c r="A136" s="1" t="s">
        <v>200</v>
      </c>
      <c r="B136" s="2">
        <v>44735</v>
      </c>
      <c r="C136" s="1">
        <v>2022</v>
      </c>
      <c r="D136" s="1" t="s">
        <v>25</v>
      </c>
      <c r="E136" s="1" t="s">
        <v>26</v>
      </c>
      <c r="F136" s="1" t="s">
        <v>33</v>
      </c>
      <c r="G136" s="1" t="s">
        <v>56</v>
      </c>
      <c r="H136" s="1">
        <v>79.25</v>
      </c>
      <c r="I136" s="1">
        <v>91.75</v>
      </c>
      <c r="J136" s="1">
        <v>1157.7</v>
      </c>
      <c r="K136" s="1" t="s">
        <v>34</v>
      </c>
      <c r="L136" s="1" t="s">
        <v>22</v>
      </c>
      <c r="M136" s="1">
        <v>166.85</v>
      </c>
      <c r="N136" s="1">
        <v>1183.01</v>
      </c>
      <c r="O136" s="1" t="s">
        <v>42</v>
      </c>
      <c r="P136" s="1">
        <v>29.18</v>
      </c>
    </row>
    <row r="137" spans="1:16" ht="13" x14ac:dyDescent="0.3">
      <c r="A137" s="1" t="s">
        <v>201</v>
      </c>
      <c r="B137" s="2">
        <v>44330</v>
      </c>
      <c r="C137" s="1">
        <v>2021</v>
      </c>
      <c r="D137" s="1" t="s">
        <v>31</v>
      </c>
      <c r="E137" s="1" t="s">
        <v>32</v>
      </c>
      <c r="F137" s="1" t="s">
        <v>19</v>
      </c>
      <c r="G137" s="1" t="s">
        <v>46</v>
      </c>
      <c r="H137" s="1">
        <v>53.04</v>
      </c>
      <c r="I137" s="1">
        <v>297.82</v>
      </c>
      <c r="J137" s="1">
        <v>5614.99</v>
      </c>
      <c r="K137" s="1" t="s">
        <v>21</v>
      </c>
      <c r="L137" s="1" t="s">
        <v>47</v>
      </c>
      <c r="M137" s="1">
        <v>81.33</v>
      </c>
      <c r="N137" s="1">
        <v>517.03</v>
      </c>
      <c r="O137" s="1" t="s">
        <v>23</v>
      </c>
      <c r="P137" s="1">
        <v>26.75</v>
      </c>
    </row>
    <row r="138" spans="1:16" ht="13" x14ac:dyDescent="0.3">
      <c r="A138" s="1" t="s">
        <v>202</v>
      </c>
      <c r="B138" s="2">
        <v>44685</v>
      </c>
      <c r="C138" s="1">
        <v>2022</v>
      </c>
      <c r="D138" s="1" t="s">
        <v>31</v>
      </c>
      <c r="E138" s="1" t="s">
        <v>82</v>
      </c>
      <c r="F138" s="1" t="s">
        <v>19</v>
      </c>
      <c r="G138" s="1" t="s">
        <v>39</v>
      </c>
      <c r="H138" s="1">
        <v>59.19</v>
      </c>
      <c r="I138" s="1">
        <v>331.86</v>
      </c>
      <c r="J138" s="1">
        <v>5606.69</v>
      </c>
      <c r="K138" s="1" t="s">
        <v>40</v>
      </c>
      <c r="L138" s="1" t="s">
        <v>41</v>
      </c>
      <c r="M138" s="1">
        <v>158.15</v>
      </c>
      <c r="N138" s="1">
        <v>1110.71</v>
      </c>
      <c r="O138" s="1" t="s">
        <v>23</v>
      </c>
      <c r="P138" s="1">
        <v>32.47</v>
      </c>
    </row>
    <row r="139" spans="1:16" ht="13" x14ac:dyDescent="0.3">
      <c r="A139" s="1" t="s">
        <v>203</v>
      </c>
      <c r="B139" s="2">
        <v>41291</v>
      </c>
      <c r="C139" s="1">
        <v>2012</v>
      </c>
      <c r="D139" s="1" t="s">
        <v>31</v>
      </c>
      <c r="E139" s="1" t="s">
        <v>82</v>
      </c>
      <c r="F139" s="1" t="s">
        <v>38</v>
      </c>
      <c r="G139" s="1" t="s">
        <v>39</v>
      </c>
      <c r="H139" s="1">
        <v>23.32</v>
      </c>
      <c r="I139" s="1">
        <v>155.88999999999999</v>
      </c>
      <c r="J139" s="1">
        <v>6684.9</v>
      </c>
      <c r="K139" s="1" t="s">
        <v>34</v>
      </c>
      <c r="L139" s="1" t="s">
        <v>47</v>
      </c>
      <c r="M139" s="1">
        <v>261.48</v>
      </c>
      <c r="N139" s="1">
        <v>450.61</v>
      </c>
      <c r="O139" s="1" t="s">
        <v>61</v>
      </c>
      <c r="P139" s="1">
        <v>24.12</v>
      </c>
    </row>
    <row r="140" spans="1:16" ht="13" x14ac:dyDescent="0.3">
      <c r="A140" s="1" t="s">
        <v>204</v>
      </c>
      <c r="B140" s="2">
        <v>43250</v>
      </c>
      <c r="C140" s="1">
        <v>2018</v>
      </c>
      <c r="D140" s="1" t="s">
        <v>59</v>
      </c>
      <c r="E140" s="1" t="s">
        <v>60</v>
      </c>
      <c r="F140" s="1" t="s">
        <v>19</v>
      </c>
      <c r="G140" s="1" t="s">
        <v>56</v>
      </c>
      <c r="H140" s="1">
        <v>59.59</v>
      </c>
      <c r="I140" s="1">
        <v>267.19</v>
      </c>
      <c r="J140" s="1">
        <v>4483.88</v>
      </c>
      <c r="K140" s="1" t="s">
        <v>40</v>
      </c>
      <c r="L140" s="1" t="s">
        <v>47</v>
      </c>
      <c r="M140" s="1">
        <v>214.68</v>
      </c>
      <c r="N140" s="1">
        <v>920.63</v>
      </c>
      <c r="O140" s="1" t="s">
        <v>61</v>
      </c>
      <c r="P140" s="1">
        <v>25.06</v>
      </c>
    </row>
    <row r="141" spans="1:16" ht="13" x14ac:dyDescent="0.3">
      <c r="A141" s="1" t="s">
        <v>205</v>
      </c>
      <c r="B141" s="2">
        <v>40834</v>
      </c>
      <c r="C141" s="1">
        <v>2011</v>
      </c>
      <c r="D141" s="1" t="s">
        <v>25</v>
      </c>
      <c r="E141" s="1" t="s">
        <v>26</v>
      </c>
      <c r="F141" s="1" t="s">
        <v>33</v>
      </c>
      <c r="G141" s="1" t="s">
        <v>39</v>
      </c>
      <c r="H141" s="1">
        <v>77.33</v>
      </c>
      <c r="I141" s="1">
        <v>200.13</v>
      </c>
      <c r="J141" s="1">
        <v>2587.94</v>
      </c>
      <c r="K141" s="1" t="s">
        <v>40</v>
      </c>
      <c r="L141" s="1" t="s">
        <v>49</v>
      </c>
      <c r="M141" s="1">
        <v>241.74</v>
      </c>
      <c r="N141" s="1">
        <v>616.59</v>
      </c>
      <c r="O141" s="1" t="s">
        <v>23</v>
      </c>
      <c r="P141" s="1">
        <v>27.47</v>
      </c>
    </row>
    <row r="142" spans="1:16" ht="13" x14ac:dyDescent="0.3">
      <c r="A142" s="1" t="s">
        <v>206</v>
      </c>
      <c r="B142" s="2">
        <v>42923</v>
      </c>
      <c r="C142" s="1">
        <v>2017</v>
      </c>
      <c r="D142" s="1" t="s">
        <v>17</v>
      </c>
      <c r="E142" s="1" t="s">
        <v>72</v>
      </c>
      <c r="F142" s="1" t="s">
        <v>33</v>
      </c>
      <c r="G142" s="1" t="s">
        <v>39</v>
      </c>
      <c r="H142" s="1">
        <v>41.2</v>
      </c>
      <c r="I142" s="1">
        <v>153.32</v>
      </c>
      <c r="J142" s="1">
        <v>3721.26</v>
      </c>
      <c r="K142" s="1" t="s">
        <v>21</v>
      </c>
      <c r="L142" s="1" t="s">
        <v>49</v>
      </c>
      <c r="M142" s="1">
        <v>89.52</v>
      </c>
      <c r="N142" s="1">
        <v>615.62</v>
      </c>
      <c r="O142" s="1" t="s">
        <v>52</v>
      </c>
      <c r="P142" s="1">
        <v>23.06</v>
      </c>
    </row>
    <row r="143" spans="1:16" ht="13" x14ac:dyDescent="0.3">
      <c r="A143" s="1" t="s">
        <v>207</v>
      </c>
      <c r="B143" s="2">
        <v>42112</v>
      </c>
      <c r="C143" s="1">
        <v>2015</v>
      </c>
      <c r="D143" s="1" t="s">
        <v>44</v>
      </c>
      <c r="E143" s="1" t="s">
        <v>67</v>
      </c>
      <c r="F143" s="1" t="s">
        <v>19</v>
      </c>
      <c r="G143" s="1" t="s">
        <v>20</v>
      </c>
      <c r="H143" s="1">
        <v>97.56</v>
      </c>
      <c r="I143" s="1">
        <v>174.11</v>
      </c>
      <c r="J143" s="1">
        <v>1784.6</v>
      </c>
      <c r="K143" s="1" t="s">
        <v>34</v>
      </c>
      <c r="L143" s="1" t="s">
        <v>29</v>
      </c>
      <c r="M143" s="1">
        <v>178.75</v>
      </c>
      <c r="N143" s="1">
        <v>306.18</v>
      </c>
      <c r="O143" s="1" t="s">
        <v>42</v>
      </c>
      <c r="P143" s="1">
        <v>27</v>
      </c>
    </row>
    <row r="144" spans="1:16" ht="13" x14ac:dyDescent="0.3">
      <c r="A144" s="1" t="s">
        <v>208</v>
      </c>
      <c r="B144" s="2">
        <v>40842</v>
      </c>
      <c r="C144" s="1">
        <v>2011</v>
      </c>
      <c r="D144" s="1" t="s">
        <v>103</v>
      </c>
      <c r="E144" s="1" t="s">
        <v>104</v>
      </c>
      <c r="F144" s="1" t="s">
        <v>33</v>
      </c>
      <c r="G144" s="1" t="s">
        <v>20</v>
      </c>
      <c r="H144" s="1">
        <v>94.59</v>
      </c>
      <c r="I144" s="1">
        <v>585.04</v>
      </c>
      <c r="J144" s="1">
        <v>6184.98</v>
      </c>
      <c r="K144" s="1" t="s">
        <v>28</v>
      </c>
      <c r="L144" s="1" t="s">
        <v>49</v>
      </c>
      <c r="M144" s="1">
        <v>112.07</v>
      </c>
      <c r="N144" s="1">
        <v>1065.31</v>
      </c>
      <c r="O144" s="1" t="s">
        <v>42</v>
      </c>
      <c r="P144" s="1">
        <v>32.200000000000003</v>
      </c>
    </row>
    <row r="145" spans="1:16" ht="13" x14ac:dyDescent="0.3">
      <c r="A145" s="1" t="s">
        <v>209</v>
      </c>
      <c r="B145" s="2">
        <v>42839</v>
      </c>
      <c r="C145" s="1">
        <v>2017</v>
      </c>
      <c r="D145" s="1" t="s">
        <v>103</v>
      </c>
      <c r="E145" s="1" t="s">
        <v>104</v>
      </c>
      <c r="F145" s="1" t="s">
        <v>19</v>
      </c>
      <c r="G145" s="1" t="s">
        <v>46</v>
      </c>
      <c r="H145" s="1">
        <v>50.38</v>
      </c>
      <c r="I145" s="1">
        <v>143.65</v>
      </c>
      <c r="J145" s="1">
        <v>2851.24</v>
      </c>
      <c r="K145" s="1" t="s">
        <v>21</v>
      </c>
      <c r="L145" s="1" t="s">
        <v>47</v>
      </c>
      <c r="M145" s="1">
        <v>72.510000000000005</v>
      </c>
      <c r="N145" s="1">
        <v>593.24</v>
      </c>
      <c r="O145" s="1" t="s">
        <v>52</v>
      </c>
      <c r="P145" s="1">
        <v>34.5</v>
      </c>
    </row>
    <row r="146" spans="1:16" ht="13" x14ac:dyDescent="0.3">
      <c r="A146" s="1" t="s">
        <v>210</v>
      </c>
      <c r="B146" s="2">
        <v>40550</v>
      </c>
      <c r="C146" s="1">
        <v>2010</v>
      </c>
      <c r="D146" s="1" t="s">
        <v>31</v>
      </c>
      <c r="E146" s="1" t="s">
        <v>82</v>
      </c>
      <c r="F146" s="1" t="s">
        <v>38</v>
      </c>
      <c r="G146" s="1" t="s">
        <v>46</v>
      </c>
      <c r="H146" s="1">
        <v>60.15</v>
      </c>
      <c r="I146" s="1">
        <v>364.33</v>
      </c>
      <c r="J146" s="1">
        <v>6057.1</v>
      </c>
      <c r="K146" s="1" t="s">
        <v>28</v>
      </c>
      <c r="L146" s="1" t="s">
        <v>49</v>
      </c>
      <c r="M146" s="1">
        <v>121.44</v>
      </c>
      <c r="N146" s="1">
        <v>208.18</v>
      </c>
      <c r="O146" s="1" t="s">
        <v>23</v>
      </c>
      <c r="P146" s="1">
        <v>26.46</v>
      </c>
    </row>
    <row r="147" spans="1:16" ht="13" x14ac:dyDescent="0.3">
      <c r="A147" s="1" t="s">
        <v>211</v>
      </c>
      <c r="B147" s="2">
        <v>42296</v>
      </c>
      <c r="C147" s="1">
        <v>2015</v>
      </c>
      <c r="D147" s="1" t="s">
        <v>44</v>
      </c>
      <c r="E147" s="1" t="s">
        <v>99</v>
      </c>
      <c r="F147" s="1" t="s">
        <v>33</v>
      </c>
      <c r="G147" s="1" t="s">
        <v>46</v>
      </c>
      <c r="H147" s="1">
        <v>6.06</v>
      </c>
      <c r="I147" s="1">
        <v>26.49</v>
      </c>
      <c r="J147" s="1">
        <v>4370.8999999999996</v>
      </c>
      <c r="K147" s="1" t="s">
        <v>34</v>
      </c>
      <c r="L147" s="1" t="s">
        <v>49</v>
      </c>
      <c r="M147" s="1">
        <v>188.31</v>
      </c>
      <c r="N147" s="1">
        <v>273.52999999999997</v>
      </c>
      <c r="O147" s="1" t="s">
        <v>61</v>
      </c>
      <c r="P147" s="1">
        <v>26.76</v>
      </c>
    </row>
    <row r="148" spans="1:16" ht="13" x14ac:dyDescent="0.3">
      <c r="A148" s="1" t="s">
        <v>212</v>
      </c>
      <c r="B148" s="2">
        <v>43934</v>
      </c>
      <c r="C148" s="1">
        <v>2020</v>
      </c>
      <c r="D148" s="1" t="s">
        <v>44</v>
      </c>
      <c r="E148" s="1" t="s">
        <v>67</v>
      </c>
      <c r="F148" s="1" t="s">
        <v>19</v>
      </c>
      <c r="G148" s="1" t="s">
        <v>64</v>
      </c>
      <c r="H148" s="1">
        <v>13.74</v>
      </c>
      <c r="I148" s="1">
        <v>21.71</v>
      </c>
      <c r="J148" s="1">
        <v>1580.09</v>
      </c>
      <c r="K148" s="1" t="s">
        <v>34</v>
      </c>
      <c r="L148" s="1" t="s">
        <v>47</v>
      </c>
      <c r="M148" s="1">
        <v>248.72</v>
      </c>
      <c r="N148" s="1">
        <v>539.09</v>
      </c>
      <c r="O148" s="1" t="s">
        <v>70</v>
      </c>
      <c r="P148" s="1">
        <v>31.32</v>
      </c>
    </row>
    <row r="149" spans="1:16" ht="13" x14ac:dyDescent="0.3">
      <c r="A149" s="1" t="s">
        <v>213</v>
      </c>
      <c r="B149" s="2">
        <v>43333</v>
      </c>
      <c r="C149" s="1">
        <v>2018</v>
      </c>
      <c r="D149" s="1" t="s">
        <v>59</v>
      </c>
      <c r="E149" s="1" t="s">
        <v>63</v>
      </c>
      <c r="F149" s="1" t="s">
        <v>33</v>
      </c>
      <c r="G149" s="1" t="s">
        <v>64</v>
      </c>
      <c r="H149" s="1">
        <v>4.8499999999999996</v>
      </c>
      <c r="I149" s="1">
        <v>25.62</v>
      </c>
      <c r="J149" s="1">
        <v>5281.55</v>
      </c>
      <c r="K149" s="1" t="s">
        <v>28</v>
      </c>
      <c r="L149" s="1" t="s">
        <v>41</v>
      </c>
      <c r="M149" s="1">
        <v>179.83</v>
      </c>
      <c r="N149" s="1">
        <v>348.94</v>
      </c>
      <c r="O149" s="1" t="s">
        <v>61</v>
      </c>
      <c r="P149" s="1">
        <v>22.1</v>
      </c>
    </row>
    <row r="150" spans="1:16" ht="13" x14ac:dyDescent="0.3">
      <c r="A150" s="1" t="s">
        <v>214</v>
      </c>
      <c r="B150" s="2">
        <v>44529</v>
      </c>
      <c r="C150" s="1">
        <v>2021</v>
      </c>
      <c r="D150" s="1" t="s">
        <v>36</v>
      </c>
      <c r="E150" s="1" t="s">
        <v>77</v>
      </c>
      <c r="F150" s="1" t="s">
        <v>38</v>
      </c>
      <c r="G150" s="1" t="s">
        <v>27</v>
      </c>
      <c r="H150" s="1">
        <v>34.299999999999997</v>
      </c>
      <c r="I150" s="1">
        <v>204.76</v>
      </c>
      <c r="J150" s="1">
        <v>5969.74</v>
      </c>
      <c r="K150" s="1" t="s">
        <v>28</v>
      </c>
      <c r="L150" s="1" t="s">
        <v>29</v>
      </c>
      <c r="M150" s="1">
        <v>227.18</v>
      </c>
      <c r="N150" s="1">
        <v>499.79</v>
      </c>
      <c r="O150" s="1" t="s">
        <v>23</v>
      </c>
      <c r="P150" s="1">
        <v>25.53</v>
      </c>
    </row>
    <row r="151" spans="1:16" ht="13" x14ac:dyDescent="0.3">
      <c r="A151" s="1" t="s">
        <v>215</v>
      </c>
      <c r="B151" s="2">
        <v>44698</v>
      </c>
      <c r="C151" s="1">
        <v>2022</v>
      </c>
      <c r="D151" s="1" t="s">
        <v>59</v>
      </c>
      <c r="E151" s="1" t="s">
        <v>63</v>
      </c>
      <c r="F151" s="1" t="s">
        <v>19</v>
      </c>
      <c r="G151" s="1" t="s">
        <v>39</v>
      </c>
      <c r="H151" s="1">
        <v>63.3</v>
      </c>
      <c r="I151" s="1">
        <v>290.01</v>
      </c>
      <c r="J151" s="1">
        <v>4581.46</v>
      </c>
      <c r="K151" s="1" t="s">
        <v>34</v>
      </c>
      <c r="L151" s="1" t="s">
        <v>22</v>
      </c>
      <c r="M151" s="1">
        <v>291.77</v>
      </c>
      <c r="N151" s="1">
        <v>982.9</v>
      </c>
      <c r="O151" s="1" t="s">
        <v>61</v>
      </c>
      <c r="P151" s="1">
        <v>28.66</v>
      </c>
    </row>
    <row r="152" spans="1:16" ht="13" x14ac:dyDescent="0.3">
      <c r="A152" s="1" t="s">
        <v>216</v>
      </c>
      <c r="B152" s="2">
        <v>41044</v>
      </c>
      <c r="C152" s="1">
        <v>2012</v>
      </c>
      <c r="D152" s="1" t="s">
        <v>59</v>
      </c>
      <c r="E152" s="1" t="s">
        <v>63</v>
      </c>
      <c r="F152" s="1" t="s">
        <v>19</v>
      </c>
      <c r="G152" s="1" t="s">
        <v>39</v>
      </c>
      <c r="H152" s="1">
        <v>72.400000000000006</v>
      </c>
      <c r="I152" s="1">
        <v>408.89</v>
      </c>
      <c r="J152" s="1">
        <v>5647.64</v>
      </c>
      <c r="K152" s="1" t="s">
        <v>28</v>
      </c>
      <c r="L152" s="1" t="s">
        <v>22</v>
      </c>
      <c r="M152" s="1">
        <v>86.94</v>
      </c>
      <c r="N152" s="1">
        <v>880.73</v>
      </c>
      <c r="O152" s="1" t="s">
        <v>23</v>
      </c>
      <c r="P152" s="1">
        <v>28.59</v>
      </c>
    </row>
    <row r="153" spans="1:16" ht="13" x14ac:dyDescent="0.3">
      <c r="A153" s="1" t="s">
        <v>217</v>
      </c>
      <c r="B153" s="2">
        <v>43055</v>
      </c>
      <c r="C153" s="1">
        <v>2017</v>
      </c>
      <c r="D153" s="1" t="s">
        <v>103</v>
      </c>
      <c r="E153" s="1" t="s">
        <v>104</v>
      </c>
      <c r="F153" s="1" t="s">
        <v>38</v>
      </c>
      <c r="G153" s="1" t="s">
        <v>46</v>
      </c>
      <c r="H153" s="1">
        <v>15.99</v>
      </c>
      <c r="I153" s="1">
        <v>82.24</v>
      </c>
      <c r="J153" s="1">
        <v>5143</v>
      </c>
      <c r="K153" s="1" t="s">
        <v>28</v>
      </c>
      <c r="L153" s="1" t="s">
        <v>41</v>
      </c>
      <c r="M153" s="1">
        <v>175.45</v>
      </c>
      <c r="N153" s="1">
        <v>811.48</v>
      </c>
      <c r="O153" s="1" t="s">
        <v>52</v>
      </c>
      <c r="P153" s="1">
        <v>33.090000000000003</v>
      </c>
    </row>
    <row r="154" spans="1:16" ht="13" x14ac:dyDescent="0.3">
      <c r="A154" s="1" t="s">
        <v>218</v>
      </c>
      <c r="B154" s="2">
        <v>43472</v>
      </c>
      <c r="C154" s="1">
        <v>2018</v>
      </c>
      <c r="D154" s="1" t="s">
        <v>59</v>
      </c>
      <c r="E154" s="1" t="s">
        <v>60</v>
      </c>
      <c r="F154" s="1" t="s">
        <v>38</v>
      </c>
      <c r="G154" s="1" t="s">
        <v>39</v>
      </c>
      <c r="H154" s="1">
        <v>48.36</v>
      </c>
      <c r="I154" s="1">
        <v>157.69999999999999</v>
      </c>
      <c r="J154" s="1">
        <v>3260.95</v>
      </c>
      <c r="K154" s="1" t="s">
        <v>40</v>
      </c>
      <c r="L154" s="1" t="s">
        <v>47</v>
      </c>
      <c r="M154" s="1">
        <v>164.92</v>
      </c>
      <c r="N154" s="1">
        <v>733.13</v>
      </c>
      <c r="O154" s="1" t="s">
        <v>61</v>
      </c>
      <c r="P154" s="1">
        <v>25.31</v>
      </c>
    </row>
    <row r="155" spans="1:16" ht="13" x14ac:dyDescent="0.3">
      <c r="A155" s="1" t="s">
        <v>219</v>
      </c>
      <c r="B155" s="2">
        <v>41668</v>
      </c>
      <c r="C155" s="1">
        <v>2013</v>
      </c>
      <c r="D155" s="1" t="s">
        <v>36</v>
      </c>
      <c r="E155" s="1" t="s">
        <v>37</v>
      </c>
      <c r="F155" s="1" t="s">
        <v>38</v>
      </c>
      <c r="G155" s="1" t="s">
        <v>27</v>
      </c>
      <c r="H155" s="1">
        <v>30.55</v>
      </c>
      <c r="I155" s="1">
        <v>203.12</v>
      </c>
      <c r="J155" s="1">
        <v>6648.91</v>
      </c>
      <c r="K155" s="1" t="s">
        <v>34</v>
      </c>
      <c r="L155" s="1" t="s">
        <v>47</v>
      </c>
      <c r="M155" s="1">
        <v>242.79</v>
      </c>
      <c r="N155" s="1">
        <v>904.9</v>
      </c>
      <c r="O155" s="1" t="s">
        <v>52</v>
      </c>
      <c r="P155" s="1">
        <v>24.76</v>
      </c>
    </row>
    <row r="156" spans="1:16" ht="13" x14ac:dyDescent="0.3">
      <c r="A156" s="1" t="s">
        <v>220</v>
      </c>
      <c r="B156" s="2">
        <v>42017</v>
      </c>
      <c r="C156" s="1">
        <v>2014</v>
      </c>
      <c r="D156" s="1" t="s">
        <v>44</v>
      </c>
      <c r="E156" s="1" t="s">
        <v>67</v>
      </c>
      <c r="F156" s="1" t="s">
        <v>38</v>
      </c>
      <c r="G156" s="1" t="s">
        <v>64</v>
      </c>
      <c r="H156" s="1">
        <v>57.77</v>
      </c>
      <c r="I156" s="1">
        <v>246.05</v>
      </c>
      <c r="J156" s="1">
        <v>4259.1499999999996</v>
      </c>
      <c r="K156" s="1" t="s">
        <v>28</v>
      </c>
      <c r="L156" s="1" t="s">
        <v>22</v>
      </c>
      <c r="M156" s="1">
        <v>254.59</v>
      </c>
      <c r="N156" s="1">
        <v>1154.6099999999999</v>
      </c>
      <c r="O156" s="1" t="s">
        <v>42</v>
      </c>
      <c r="P156" s="1">
        <v>24.36</v>
      </c>
    </row>
    <row r="157" spans="1:16" ht="13" x14ac:dyDescent="0.3">
      <c r="A157" s="1" t="s">
        <v>221</v>
      </c>
      <c r="B157" s="2">
        <v>44286</v>
      </c>
      <c r="C157" s="1">
        <v>2020</v>
      </c>
      <c r="D157" s="1" t="s">
        <v>31</v>
      </c>
      <c r="E157" s="1" t="s">
        <v>32</v>
      </c>
      <c r="F157" s="1" t="s">
        <v>38</v>
      </c>
      <c r="G157" s="1" t="s">
        <v>39</v>
      </c>
      <c r="H157" s="1">
        <v>48.43</v>
      </c>
      <c r="I157" s="1">
        <v>107.15</v>
      </c>
      <c r="J157" s="1">
        <v>2212.41</v>
      </c>
      <c r="K157" s="1" t="s">
        <v>34</v>
      </c>
      <c r="L157" s="1" t="s">
        <v>41</v>
      </c>
      <c r="M157" s="1">
        <v>283.26</v>
      </c>
      <c r="N157" s="1">
        <v>896.17</v>
      </c>
      <c r="O157" s="1" t="s">
        <v>42</v>
      </c>
      <c r="P157" s="1">
        <v>21.64</v>
      </c>
    </row>
    <row r="158" spans="1:16" ht="13" x14ac:dyDescent="0.3">
      <c r="A158" s="1" t="s">
        <v>222</v>
      </c>
      <c r="B158" s="2">
        <v>43957</v>
      </c>
      <c r="C158" s="1">
        <v>2020</v>
      </c>
      <c r="D158" s="1" t="s">
        <v>103</v>
      </c>
      <c r="E158" s="1" t="s">
        <v>104</v>
      </c>
      <c r="F158" s="1" t="s">
        <v>19</v>
      </c>
      <c r="G158" s="1" t="s">
        <v>56</v>
      </c>
      <c r="H158" s="1">
        <v>64.16</v>
      </c>
      <c r="I158" s="1">
        <v>84.37</v>
      </c>
      <c r="J158" s="1">
        <v>1314.95</v>
      </c>
      <c r="K158" s="1" t="s">
        <v>28</v>
      </c>
      <c r="L158" s="1" t="s">
        <v>41</v>
      </c>
      <c r="M158" s="1">
        <v>132.57</v>
      </c>
      <c r="N158" s="1">
        <v>672.4</v>
      </c>
      <c r="O158" s="1" t="s">
        <v>42</v>
      </c>
      <c r="P158" s="1">
        <v>20.079999999999998</v>
      </c>
    </row>
    <row r="159" spans="1:16" ht="13" x14ac:dyDescent="0.3">
      <c r="A159" s="1" t="s">
        <v>223</v>
      </c>
      <c r="B159" s="2">
        <v>43099</v>
      </c>
      <c r="C159" s="1">
        <v>2017</v>
      </c>
      <c r="D159" s="1" t="s">
        <v>36</v>
      </c>
      <c r="E159" s="1" t="s">
        <v>77</v>
      </c>
      <c r="F159" s="1" t="s">
        <v>38</v>
      </c>
      <c r="G159" s="1" t="s">
        <v>39</v>
      </c>
      <c r="H159" s="1">
        <v>20.75</v>
      </c>
      <c r="I159" s="1">
        <v>140.76</v>
      </c>
      <c r="J159" s="1">
        <v>6783.48</v>
      </c>
      <c r="K159" s="1" t="s">
        <v>34</v>
      </c>
      <c r="L159" s="1" t="s">
        <v>47</v>
      </c>
      <c r="M159" s="1">
        <v>121.35</v>
      </c>
      <c r="N159" s="1">
        <v>259.16000000000003</v>
      </c>
      <c r="O159" s="1" t="s">
        <v>23</v>
      </c>
      <c r="P159" s="1">
        <v>29.78</v>
      </c>
    </row>
    <row r="160" spans="1:16" ht="13" x14ac:dyDescent="0.3">
      <c r="A160" s="1" t="s">
        <v>224</v>
      </c>
      <c r="B160" s="2">
        <v>40404</v>
      </c>
      <c r="C160" s="1">
        <v>2010</v>
      </c>
      <c r="D160" s="1" t="s">
        <v>17</v>
      </c>
      <c r="E160" s="1" t="s">
        <v>54</v>
      </c>
      <c r="F160" s="1" t="s">
        <v>33</v>
      </c>
      <c r="G160" s="1" t="s">
        <v>46</v>
      </c>
      <c r="H160" s="1">
        <v>88.34</v>
      </c>
      <c r="I160" s="1">
        <v>181.51</v>
      </c>
      <c r="J160" s="1">
        <v>2054.73</v>
      </c>
      <c r="K160" s="1" t="s">
        <v>21</v>
      </c>
      <c r="L160" s="1" t="s">
        <v>22</v>
      </c>
      <c r="M160" s="1">
        <v>299.29000000000002</v>
      </c>
      <c r="N160" s="1">
        <v>596.99</v>
      </c>
      <c r="O160" s="1" t="s">
        <v>52</v>
      </c>
      <c r="P160" s="1">
        <v>22.79</v>
      </c>
    </row>
    <row r="161" spans="1:16" ht="13" x14ac:dyDescent="0.3">
      <c r="A161" s="1" t="s">
        <v>225</v>
      </c>
      <c r="B161" s="2">
        <v>43564</v>
      </c>
      <c r="C161" s="1">
        <v>2019</v>
      </c>
      <c r="D161" s="1" t="s">
        <v>25</v>
      </c>
      <c r="E161" s="1" t="s">
        <v>87</v>
      </c>
      <c r="F161" s="1" t="s">
        <v>19</v>
      </c>
      <c r="G161" s="1" t="s">
        <v>64</v>
      </c>
      <c r="H161" s="1">
        <v>92.92</v>
      </c>
      <c r="I161" s="1">
        <v>279.70999999999998</v>
      </c>
      <c r="J161" s="1">
        <v>3010.25</v>
      </c>
      <c r="K161" s="1" t="s">
        <v>28</v>
      </c>
      <c r="L161" s="1" t="s">
        <v>47</v>
      </c>
      <c r="M161" s="1">
        <v>297.27</v>
      </c>
      <c r="N161" s="1">
        <v>743.3</v>
      </c>
      <c r="O161" s="1" t="s">
        <v>52</v>
      </c>
      <c r="P161" s="1">
        <v>33.340000000000003</v>
      </c>
    </row>
    <row r="162" spans="1:16" ht="13" x14ac:dyDescent="0.3">
      <c r="A162" s="1" t="s">
        <v>226</v>
      </c>
      <c r="B162" s="2">
        <v>41571</v>
      </c>
      <c r="C162" s="1">
        <v>2013</v>
      </c>
      <c r="D162" s="1" t="s">
        <v>36</v>
      </c>
      <c r="E162" s="1" t="s">
        <v>51</v>
      </c>
      <c r="F162" s="1" t="s">
        <v>33</v>
      </c>
      <c r="G162" s="1" t="s">
        <v>20</v>
      </c>
      <c r="H162" s="1">
        <v>17.09</v>
      </c>
      <c r="I162" s="1">
        <v>64.150000000000006</v>
      </c>
      <c r="J162" s="1">
        <v>3753.49</v>
      </c>
      <c r="K162" s="1" t="s">
        <v>34</v>
      </c>
      <c r="L162" s="1" t="s">
        <v>41</v>
      </c>
      <c r="M162" s="1">
        <v>229.65</v>
      </c>
      <c r="N162" s="1">
        <v>214.08</v>
      </c>
      <c r="O162" s="1" t="s">
        <v>70</v>
      </c>
      <c r="P162" s="1">
        <v>31.86</v>
      </c>
    </row>
    <row r="163" spans="1:16" ht="13" x14ac:dyDescent="0.3">
      <c r="A163" s="1" t="s">
        <v>227</v>
      </c>
      <c r="B163" s="2">
        <v>44137</v>
      </c>
      <c r="C163" s="1">
        <v>2020</v>
      </c>
      <c r="D163" s="1" t="s">
        <v>103</v>
      </c>
      <c r="E163" s="1" t="s">
        <v>228</v>
      </c>
      <c r="F163" s="1" t="s">
        <v>38</v>
      </c>
      <c r="G163" s="1" t="s">
        <v>46</v>
      </c>
      <c r="H163" s="1">
        <v>52.01</v>
      </c>
      <c r="I163" s="1">
        <v>79.08</v>
      </c>
      <c r="J163" s="1">
        <v>1520.43</v>
      </c>
      <c r="K163" s="1" t="s">
        <v>21</v>
      </c>
      <c r="L163" s="1" t="s">
        <v>49</v>
      </c>
      <c r="M163" s="1">
        <v>96.2</v>
      </c>
      <c r="N163" s="1">
        <v>340.61</v>
      </c>
      <c r="O163" s="1" t="s">
        <v>70</v>
      </c>
      <c r="P163" s="1">
        <v>34.04</v>
      </c>
    </row>
    <row r="164" spans="1:16" ht="13" x14ac:dyDescent="0.3">
      <c r="A164" s="1" t="s">
        <v>229</v>
      </c>
      <c r="B164" s="2">
        <v>43070</v>
      </c>
      <c r="C164" s="1">
        <v>2017</v>
      </c>
      <c r="D164" s="1" t="s">
        <v>36</v>
      </c>
      <c r="E164" s="1" t="s">
        <v>37</v>
      </c>
      <c r="F164" s="1" t="s">
        <v>38</v>
      </c>
      <c r="G164" s="1" t="s">
        <v>20</v>
      </c>
      <c r="H164" s="1">
        <v>30.89</v>
      </c>
      <c r="I164" s="1">
        <v>164.87</v>
      </c>
      <c r="J164" s="1">
        <v>5337.3</v>
      </c>
      <c r="K164" s="1" t="s">
        <v>21</v>
      </c>
      <c r="L164" s="1" t="s">
        <v>29</v>
      </c>
      <c r="M164" s="1">
        <v>115.39</v>
      </c>
      <c r="N164" s="1">
        <v>559.54999999999995</v>
      </c>
      <c r="O164" s="1" t="s">
        <v>42</v>
      </c>
      <c r="P164" s="1">
        <v>20.93</v>
      </c>
    </row>
    <row r="165" spans="1:16" ht="13" x14ac:dyDescent="0.3">
      <c r="A165" s="1" t="s">
        <v>230</v>
      </c>
      <c r="B165" s="2">
        <v>42475</v>
      </c>
      <c r="C165" s="1">
        <v>2016</v>
      </c>
      <c r="D165" s="1" t="s">
        <v>31</v>
      </c>
      <c r="E165" s="1" t="s">
        <v>82</v>
      </c>
      <c r="F165" s="1" t="s">
        <v>19</v>
      </c>
      <c r="G165" s="1" t="s">
        <v>27</v>
      </c>
      <c r="H165" s="1">
        <v>92.39</v>
      </c>
      <c r="I165" s="1">
        <v>584.53</v>
      </c>
      <c r="J165" s="1">
        <v>6326.81</v>
      </c>
      <c r="K165" s="1" t="s">
        <v>34</v>
      </c>
      <c r="L165" s="1" t="s">
        <v>41</v>
      </c>
      <c r="M165" s="1">
        <v>222.57</v>
      </c>
      <c r="N165" s="1">
        <v>838.71</v>
      </c>
      <c r="O165" s="1" t="s">
        <v>70</v>
      </c>
      <c r="P165" s="1">
        <v>25.51</v>
      </c>
    </row>
    <row r="166" spans="1:16" ht="13" x14ac:dyDescent="0.3">
      <c r="A166" s="1" t="s">
        <v>231</v>
      </c>
      <c r="B166" s="2">
        <v>41234</v>
      </c>
      <c r="C166" s="1">
        <v>2012</v>
      </c>
      <c r="D166" s="1" t="s">
        <v>103</v>
      </c>
      <c r="E166" s="1" t="s">
        <v>107</v>
      </c>
      <c r="F166" s="1" t="s">
        <v>38</v>
      </c>
      <c r="G166" s="1" t="s">
        <v>39</v>
      </c>
      <c r="H166" s="1">
        <v>98.89</v>
      </c>
      <c r="I166" s="1">
        <v>320.58</v>
      </c>
      <c r="J166" s="1">
        <v>3241.75</v>
      </c>
      <c r="K166" s="1" t="s">
        <v>28</v>
      </c>
      <c r="L166" s="1" t="s">
        <v>47</v>
      </c>
      <c r="M166" s="1">
        <v>239.34</v>
      </c>
      <c r="N166" s="1">
        <v>1001.99</v>
      </c>
      <c r="O166" s="1" t="s">
        <v>42</v>
      </c>
      <c r="P166" s="1">
        <v>31.43</v>
      </c>
    </row>
    <row r="167" spans="1:16" ht="13" x14ac:dyDescent="0.3">
      <c r="A167" s="1" t="s">
        <v>232</v>
      </c>
      <c r="B167" s="2">
        <v>44614</v>
      </c>
      <c r="C167" s="1">
        <v>2021</v>
      </c>
      <c r="D167" s="1" t="s">
        <v>36</v>
      </c>
      <c r="E167" s="1" t="s">
        <v>77</v>
      </c>
      <c r="F167" s="1" t="s">
        <v>38</v>
      </c>
      <c r="G167" s="1" t="s">
        <v>64</v>
      </c>
      <c r="H167" s="1">
        <v>91.81</v>
      </c>
      <c r="I167" s="1">
        <v>153.62</v>
      </c>
      <c r="J167" s="1">
        <v>1673.25</v>
      </c>
      <c r="K167" s="1" t="s">
        <v>40</v>
      </c>
      <c r="L167" s="1" t="s">
        <v>22</v>
      </c>
      <c r="M167" s="1">
        <v>193.18</v>
      </c>
      <c r="N167" s="1">
        <v>349.85</v>
      </c>
      <c r="O167" s="1" t="s">
        <v>70</v>
      </c>
      <c r="P167" s="1">
        <v>32.82</v>
      </c>
    </row>
    <row r="168" spans="1:16" ht="13" x14ac:dyDescent="0.3">
      <c r="A168" s="1" t="s">
        <v>233</v>
      </c>
      <c r="B168" s="2">
        <v>44322</v>
      </c>
      <c r="C168" s="1">
        <v>2021</v>
      </c>
      <c r="D168" s="1" t="s">
        <v>17</v>
      </c>
      <c r="E168" s="1" t="s">
        <v>18</v>
      </c>
      <c r="F168" s="1" t="s">
        <v>19</v>
      </c>
      <c r="G168" s="1" t="s">
        <v>46</v>
      </c>
      <c r="H168" s="1">
        <v>10</v>
      </c>
      <c r="I168" s="1">
        <v>40.619999999999997</v>
      </c>
      <c r="J168" s="1">
        <v>4062.25</v>
      </c>
      <c r="K168" s="1" t="s">
        <v>21</v>
      </c>
      <c r="L168" s="1" t="s">
        <v>29</v>
      </c>
      <c r="M168" s="1">
        <v>163.36000000000001</v>
      </c>
      <c r="N168" s="1">
        <v>713.25</v>
      </c>
      <c r="O168" s="1" t="s">
        <v>52</v>
      </c>
      <c r="P168" s="1">
        <v>28.46</v>
      </c>
    </row>
    <row r="169" spans="1:16" ht="13" x14ac:dyDescent="0.3">
      <c r="A169" s="1" t="s">
        <v>234</v>
      </c>
      <c r="B169" s="2">
        <v>44486</v>
      </c>
      <c r="C169" s="1">
        <v>2021</v>
      </c>
      <c r="D169" s="1" t="s">
        <v>17</v>
      </c>
      <c r="E169" s="1" t="s">
        <v>72</v>
      </c>
      <c r="F169" s="1" t="s">
        <v>33</v>
      </c>
      <c r="G169" s="1" t="s">
        <v>46</v>
      </c>
      <c r="H169" s="1">
        <v>26.19</v>
      </c>
      <c r="I169" s="1">
        <v>26.66</v>
      </c>
      <c r="J169" s="1">
        <v>1018.09</v>
      </c>
      <c r="K169" s="1" t="s">
        <v>40</v>
      </c>
      <c r="L169" s="1" t="s">
        <v>22</v>
      </c>
      <c r="M169" s="1">
        <v>194.58</v>
      </c>
      <c r="N169" s="1">
        <v>245.29</v>
      </c>
      <c r="O169" s="1" t="s">
        <v>70</v>
      </c>
      <c r="P169" s="1">
        <v>30.51</v>
      </c>
    </row>
    <row r="170" spans="1:16" ht="13" x14ac:dyDescent="0.3">
      <c r="A170" s="1" t="s">
        <v>235</v>
      </c>
      <c r="B170" s="2">
        <v>40579</v>
      </c>
      <c r="C170" s="1">
        <v>2010</v>
      </c>
      <c r="D170" s="1" t="s">
        <v>25</v>
      </c>
      <c r="E170" s="1" t="s">
        <v>87</v>
      </c>
      <c r="F170" s="1" t="s">
        <v>38</v>
      </c>
      <c r="G170" s="1" t="s">
        <v>46</v>
      </c>
      <c r="H170" s="1">
        <v>18.82</v>
      </c>
      <c r="I170" s="1">
        <v>34.11</v>
      </c>
      <c r="J170" s="1">
        <v>1812.57</v>
      </c>
      <c r="K170" s="1" t="s">
        <v>28</v>
      </c>
      <c r="L170" s="1" t="s">
        <v>29</v>
      </c>
      <c r="M170" s="1">
        <v>143.62</v>
      </c>
      <c r="N170" s="1">
        <v>1091.33</v>
      </c>
      <c r="O170" s="1" t="s">
        <v>52</v>
      </c>
      <c r="P170" s="1">
        <v>33.04</v>
      </c>
    </row>
    <row r="171" spans="1:16" ht="13" x14ac:dyDescent="0.3">
      <c r="A171" s="1" t="s">
        <v>236</v>
      </c>
      <c r="B171" s="2">
        <v>43936</v>
      </c>
      <c r="C171" s="1">
        <v>2020</v>
      </c>
      <c r="D171" s="1" t="s">
        <v>25</v>
      </c>
      <c r="E171" s="1" t="s">
        <v>69</v>
      </c>
      <c r="F171" s="1" t="s">
        <v>19</v>
      </c>
      <c r="G171" s="1" t="s">
        <v>56</v>
      </c>
      <c r="H171" s="1">
        <v>65.7</v>
      </c>
      <c r="I171" s="1">
        <v>202.79</v>
      </c>
      <c r="J171" s="1">
        <v>3086.62</v>
      </c>
      <c r="K171" s="1" t="s">
        <v>40</v>
      </c>
      <c r="L171" s="1" t="s">
        <v>22</v>
      </c>
      <c r="M171" s="1">
        <v>298.20999999999998</v>
      </c>
      <c r="N171" s="1">
        <v>593.05999999999995</v>
      </c>
      <c r="O171" s="1" t="s">
        <v>42</v>
      </c>
      <c r="P171" s="1">
        <v>30.92</v>
      </c>
    </row>
    <row r="172" spans="1:16" ht="13" x14ac:dyDescent="0.3">
      <c r="A172" s="1" t="s">
        <v>237</v>
      </c>
      <c r="B172" s="2">
        <v>41992</v>
      </c>
      <c r="C172" s="1">
        <v>2014</v>
      </c>
      <c r="D172" s="1" t="s">
        <v>44</v>
      </c>
      <c r="E172" s="1" t="s">
        <v>45</v>
      </c>
      <c r="F172" s="1" t="s">
        <v>38</v>
      </c>
      <c r="G172" s="1" t="s">
        <v>39</v>
      </c>
      <c r="H172" s="1">
        <v>72.19</v>
      </c>
      <c r="I172" s="1">
        <v>255.9</v>
      </c>
      <c r="J172" s="1">
        <v>3544.77</v>
      </c>
      <c r="K172" s="1" t="s">
        <v>28</v>
      </c>
      <c r="L172" s="1" t="s">
        <v>22</v>
      </c>
      <c r="M172" s="1">
        <v>255.84</v>
      </c>
      <c r="N172" s="1">
        <v>447.51</v>
      </c>
      <c r="O172" s="1" t="s">
        <v>70</v>
      </c>
      <c r="P172" s="1">
        <v>22.33</v>
      </c>
    </row>
    <row r="173" spans="1:16" ht="13" x14ac:dyDescent="0.3">
      <c r="A173" s="1" t="s">
        <v>238</v>
      </c>
      <c r="B173" s="2">
        <v>42463</v>
      </c>
      <c r="C173" s="1">
        <v>2016</v>
      </c>
      <c r="D173" s="1" t="s">
        <v>25</v>
      </c>
      <c r="E173" s="1" t="s">
        <v>69</v>
      </c>
      <c r="F173" s="1" t="s">
        <v>19</v>
      </c>
      <c r="G173" s="1" t="s">
        <v>64</v>
      </c>
      <c r="H173" s="1">
        <v>24.83</v>
      </c>
      <c r="I173" s="1">
        <v>34.86</v>
      </c>
      <c r="J173" s="1">
        <v>1403.75</v>
      </c>
      <c r="K173" s="1" t="s">
        <v>21</v>
      </c>
      <c r="L173" s="1" t="s">
        <v>29</v>
      </c>
      <c r="M173" s="1">
        <v>161.61000000000001</v>
      </c>
      <c r="N173" s="1">
        <v>872.02</v>
      </c>
      <c r="O173" s="1" t="s">
        <v>23</v>
      </c>
      <c r="P173" s="1">
        <v>23.67</v>
      </c>
    </row>
    <row r="174" spans="1:16" ht="13" x14ac:dyDescent="0.3">
      <c r="A174" s="1" t="s">
        <v>239</v>
      </c>
      <c r="B174" s="2">
        <v>43334</v>
      </c>
      <c r="C174" s="1">
        <v>2018</v>
      </c>
      <c r="D174" s="1" t="s">
        <v>36</v>
      </c>
      <c r="E174" s="1" t="s">
        <v>37</v>
      </c>
      <c r="F174" s="1" t="s">
        <v>33</v>
      </c>
      <c r="G174" s="1" t="s">
        <v>64</v>
      </c>
      <c r="H174" s="1">
        <v>14.87</v>
      </c>
      <c r="I174" s="1">
        <v>103.51</v>
      </c>
      <c r="J174" s="1">
        <v>6960.9</v>
      </c>
      <c r="K174" s="1" t="s">
        <v>40</v>
      </c>
      <c r="L174" s="1" t="s">
        <v>41</v>
      </c>
      <c r="M174" s="1">
        <v>253.95</v>
      </c>
      <c r="N174" s="1">
        <v>931.52</v>
      </c>
      <c r="O174" s="1" t="s">
        <v>70</v>
      </c>
      <c r="P174" s="1">
        <v>28.66</v>
      </c>
    </row>
    <row r="175" spans="1:16" ht="13" x14ac:dyDescent="0.3">
      <c r="A175" s="1" t="s">
        <v>240</v>
      </c>
      <c r="B175" s="2">
        <v>43944</v>
      </c>
      <c r="C175" s="1">
        <v>2020</v>
      </c>
      <c r="D175" s="1" t="s">
        <v>31</v>
      </c>
      <c r="E175" s="1" t="s">
        <v>82</v>
      </c>
      <c r="F175" s="1" t="s">
        <v>19</v>
      </c>
      <c r="G175" s="1" t="s">
        <v>56</v>
      </c>
      <c r="H175" s="1">
        <v>41.94</v>
      </c>
      <c r="I175" s="1">
        <v>111.18</v>
      </c>
      <c r="J175" s="1">
        <v>2650.92</v>
      </c>
      <c r="K175" s="1" t="s">
        <v>40</v>
      </c>
      <c r="L175" s="1" t="s">
        <v>29</v>
      </c>
      <c r="M175" s="1">
        <v>206.5</v>
      </c>
      <c r="N175" s="1">
        <v>627.20000000000005</v>
      </c>
      <c r="O175" s="1" t="s">
        <v>52</v>
      </c>
      <c r="P175" s="1">
        <v>20.7</v>
      </c>
    </row>
    <row r="176" spans="1:16" ht="13" x14ac:dyDescent="0.3">
      <c r="A176" s="1" t="s">
        <v>241</v>
      </c>
      <c r="B176" s="2">
        <v>42140</v>
      </c>
      <c r="C176" s="1">
        <v>2015</v>
      </c>
      <c r="D176" s="1" t="s">
        <v>44</v>
      </c>
      <c r="E176" s="1" t="s">
        <v>67</v>
      </c>
      <c r="F176" s="1" t="s">
        <v>19</v>
      </c>
      <c r="G176" s="1" t="s">
        <v>46</v>
      </c>
      <c r="H176" s="1">
        <v>41.42</v>
      </c>
      <c r="I176" s="1">
        <v>115.95</v>
      </c>
      <c r="J176" s="1">
        <v>2799.33</v>
      </c>
      <c r="K176" s="1" t="s">
        <v>40</v>
      </c>
      <c r="L176" s="1" t="s">
        <v>41</v>
      </c>
      <c r="M176" s="1">
        <v>238.6</v>
      </c>
      <c r="N176" s="1">
        <v>673.52</v>
      </c>
      <c r="O176" s="1" t="s">
        <v>42</v>
      </c>
      <c r="P176" s="1">
        <v>24.51</v>
      </c>
    </row>
    <row r="177" spans="1:16" ht="13" x14ac:dyDescent="0.3">
      <c r="A177" s="1" t="s">
        <v>242</v>
      </c>
      <c r="B177" s="2">
        <v>40328</v>
      </c>
      <c r="C177" s="1">
        <v>2010</v>
      </c>
      <c r="D177" s="1" t="s">
        <v>44</v>
      </c>
      <c r="E177" s="1" t="s">
        <v>99</v>
      </c>
      <c r="F177" s="1" t="s">
        <v>19</v>
      </c>
      <c r="G177" s="1" t="s">
        <v>46</v>
      </c>
      <c r="H177" s="1">
        <v>96.81</v>
      </c>
      <c r="I177" s="1">
        <v>420.52</v>
      </c>
      <c r="J177" s="1">
        <v>4343.72</v>
      </c>
      <c r="K177" s="1" t="s">
        <v>40</v>
      </c>
      <c r="L177" s="1" t="s">
        <v>29</v>
      </c>
      <c r="M177" s="1">
        <v>147.1</v>
      </c>
      <c r="N177" s="1">
        <v>455</v>
      </c>
      <c r="O177" s="1" t="s">
        <v>70</v>
      </c>
      <c r="P177" s="1">
        <v>29.7</v>
      </c>
    </row>
    <row r="178" spans="1:16" ht="13" x14ac:dyDescent="0.3">
      <c r="A178" s="1" t="s">
        <v>243</v>
      </c>
      <c r="B178" s="2">
        <v>40682</v>
      </c>
      <c r="C178" s="1">
        <v>2011</v>
      </c>
      <c r="D178" s="1" t="s">
        <v>44</v>
      </c>
      <c r="E178" s="1" t="s">
        <v>99</v>
      </c>
      <c r="F178" s="1" t="s">
        <v>19</v>
      </c>
      <c r="G178" s="1" t="s">
        <v>39</v>
      </c>
      <c r="H178" s="1">
        <v>83.11</v>
      </c>
      <c r="I178" s="1">
        <v>108.81</v>
      </c>
      <c r="J178" s="1">
        <v>1309.22</v>
      </c>
      <c r="K178" s="1" t="s">
        <v>28</v>
      </c>
      <c r="L178" s="1" t="s">
        <v>47</v>
      </c>
      <c r="M178" s="1">
        <v>218.42</v>
      </c>
      <c r="N178" s="1">
        <v>802.92</v>
      </c>
      <c r="O178" s="1" t="s">
        <v>23</v>
      </c>
      <c r="P178" s="1">
        <v>22.82</v>
      </c>
    </row>
    <row r="179" spans="1:16" ht="13" x14ac:dyDescent="0.3">
      <c r="A179" s="1" t="s">
        <v>244</v>
      </c>
      <c r="B179" s="2">
        <v>43282</v>
      </c>
      <c r="C179" s="1">
        <v>2018</v>
      </c>
      <c r="D179" s="1" t="s">
        <v>17</v>
      </c>
      <c r="E179" s="1" t="s">
        <v>54</v>
      </c>
      <c r="F179" s="1" t="s">
        <v>33</v>
      </c>
      <c r="G179" s="1" t="s">
        <v>46</v>
      </c>
      <c r="H179" s="1">
        <v>21.68</v>
      </c>
      <c r="I179" s="1">
        <v>139.66999999999999</v>
      </c>
      <c r="J179" s="1">
        <v>6442.2</v>
      </c>
      <c r="K179" s="1" t="s">
        <v>34</v>
      </c>
      <c r="L179" s="1" t="s">
        <v>29</v>
      </c>
      <c r="M179" s="1">
        <v>289.25</v>
      </c>
      <c r="N179" s="1">
        <v>215.33</v>
      </c>
      <c r="O179" s="1" t="s">
        <v>42</v>
      </c>
      <c r="P179" s="1">
        <v>34.43</v>
      </c>
    </row>
    <row r="180" spans="1:16" ht="13" x14ac:dyDescent="0.3">
      <c r="A180" s="1" t="s">
        <v>245</v>
      </c>
      <c r="B180" s="2">
        <v>43575</v>
      </c>
      <c r="C180" s="1">
        <v>2019</v>
      </c>
      <c r="D180" s="1" t="s">
        <v>103</v>
      </c>
      <c r="E180" s="1" t="s">
        <v>228</v>
      </c>
      <c r="F180" s="1" t="s">
        <v>19</v>
      </c>
      <c r="G180" s="1" t="s">
        <v>56</v>
      </c>
      <c r="H180" s="1">
        <v>40.270000000000003</v>
      </c>
      <c r="I180" s="1">
        <v>98.1</v>
      </c>
      <c r="J180" s="1">
        <v>2435.9899999999998</v>
      </c>
      <c r="K180" s="1" t="s">
        <v>34</v>
      </c>
      <c r="L180" s="1" t="s">
        <v>49</v>
      </c>
      <c r="M180" s="1">
        <v>243.88</v>
      </c>
      <c r="N180" s="1">
        <v>580.66</v>
      </c>
      <c r="O180" s="1" t="s">
        <v>61</v>
      </c>
      <c r="P180" s="1">
        <v>29.73</v>
      </c>
    </row>
    <row r="181" spans="1:16" ht="13" x14ac:dyDescent="0.3">
      <c r="A181" s="1" t="s">
        <v>246</v>
      </c>
      <c r="B181" s="2">
        <v>43096</v>
      </c>
      <c r="C181" s="1">
        <v>2017</v>
      </c>
      <c r="D181" s="1" t="s">
        <v>31</v>
      </c>
      <c r="E181" s="1" t="s">
        <v>117</v>
      </c>
      <c r="F181" s="1" t="s">
        <v>38</v>
      </c>
      <c r="G181" s="1" t="s">
        <v>64</v>
      </c>
      <c r="H181" s="1">
        <v>80.48</v>
      </c>
      <c r="I181" s="1">
        <v>429.32</v>
      </c>
      <c r="J181" s="1">
        <v>5334.48</v>
      </c>
      <c r="K181" s="1" t="s">
        <v>34</v>
      </c>
      <c r="L181" s="1" t="s">
        <v>41</v>
      </c>
      <c r="M181" s="1">
        <v>278.58</v>
      </c>
      <c r="N181" s="1">
        <v>570.70000000000005</v>
      </c>
      <c r="O181" s="1" t="s">
        <v>52</v>
      </c>
      <c r="P181" s="1">
        <v>20.69</v>
      </c>
    </row>
    <row r="182" spans="1:16" ht="13" x14ac:dyDescent="0.3">
      <c r="A182" s="1" t="s">
        <v>247</v>
      </c>
      <c r="B182" s="2">
        <v>43232</v>
      </c>
      <c r="C182" s="1">
        <v>2018</v>
      </c>
      <c r="D182" s="1" t="s">
        <v>25</v>
      </c>
      <c r="E182" s="1" t="s">
        <v>87</v>
      </c>
      <c r="F182" s="1" t="s">
        <v>19</v>
      </c>
      <c r="G182" s="1" t="s">
        <v>27</v>
      </c>
      <c r="H182" s="1">
        <v>72.28</v>
      </c>
      <c r="I182" s="1">
        <v>200.3</v>
      </c>
      <c r="J182" s="1">
        <v>2771.15</v>
      </c>
      <c r="K182" s="1" t="s">
        <v>40</v>
      </c>
      <c r="L182" s="1" t="s">
        <v>49</v>
      </c>
      <c r="M182" s="1">
        <v>132.47</v>
      </c>
      <c r="N182" s="1">
        <v>579.84</v>
      </c>
      <c r="O182" s="1" t="s">
        <v>42</v>
      </c>
      <c r="P182" s="1">
        <v>27.49</v>
      </c>
    </row>
    <row r="183" spans="1:16" ht="13" x14ac:dyDescent="0.3">
      <c r="A183" s="1" t="s">
        <v>248</v>
      </c>
      <c r="B183" s="2">
        <v>44343</v>
      </c>
      <c r="C183" s="1">
        <v>2021</v>
      </c>
      <c r="D183" s="1" t="s">
        <v>31</v>
      </c>
      <c r="E183" s="1" t="s">
        <v>32</v>
      </c>
      <c r="F183" s="1" t="s">
        <v>19</v>
      </c>
      <c r="G183" s="1" t="s">
        <v>39</v>
      </c>
      <c r="H183" s="1">
        <v>49.57</v>
      </c>
      <c r="I183" s="1">
        <v>99.61</v>
      </c>
      <c r="J183" s="1">
        <v>2009.4</v>
      </c>
      <c r="K183" s="1" t="s">
        <v>34</v>
      </c>
      <c r="L183" s="1" t="s">
        <v>47</v>
      </c>
      <c r="M183" s="1">
        <v>92.32</v>
      </c>
      <c r="N183" s="1">
        <v>920.31</v>
      </c>
      <c r="O183" s="1" t="s">
        <v>52</v>
      </c>
      <c r="P183" s="1">
        <v>22.76</v>
      </c>
    </row>
    <row r="184" spans="1:16" ht="13" x14ac:dyDescent="0.3">
      <c r="A184" s="1" t="s">
        <v>249</v>
      </c>
      <c r="B184" s="2">
        <v>43290</v>
      </c>
      <c r="C184" s="1">
        <v>2018</v>
      </c>
      <c r="D184" s="1" t="s">
        <v>17</v>
      </c>
      <c r="E184" s="1" t="s">
        <v>18</v>
      </c>
      <c r="F184" s="1" t="s">
        <v>33</v>
      </c>
      <c r="G184" s="1" t="s">
        <v>64</v>
      </c>
      <c r="H184" s="1">
        <v>94.57</v>
      </c>
      <c r="I184" s="1">
        <v>473.73</v>
      </c>
      <c r="J184" s="1">
        <v>5009.29</v>
      </c>
      <c r="K184" s="1" t="s">
        <v>21</v>
      </c>
      <c r="L184" s="1" t="s">
        <v>22</v>
      </c>
      <c r="M184" s="1">
        <v>153.1</v>
      </c>
      <c r="N184" s="1">
        <v>1042.54</v>
      </c>
      <c r="O184" s="1" t="s">
        <v>42</v>
      </c>
      <c r="P184" s="1">
        <v>21.02</v>
      </c>
    </row>
    <row r="185" spans="1:16" ht="13" x14ac:dyDescent="0.3">
      <c r="A185" s="1" t="s">
        <v>250</v>
      </c>
      <c r="B185" s="2">
        <v>43043</v>
      </c>
      <c r="C185" s="1">
        <v>2017</v>
      </c>
      <c r="D185" s="1" t="s">
        <v>103</v>
      </c>
      <c r="E185" s="1" t="s">
        <v>228</v>
      </c>
      <c r="F185" s="1" t="s">
        <v>38</v>
      </c>
      <c r="G185" s="1" t="s">
        <v>64</v>
      </c>
      <c r="H185" s="1">
        <v>62.17</v>
      </c>
      <c r="I185" s="1">
        <v>310.88</v>
      </c>
      <c r="J185" s="1">
        <v>5000.53</v>
      </c>
      <c r="K185" s="1" t="s">
        <v>28</v>
      </c>
      <c r="L185" s="1" t="s">
        <v>22</v>
      </c>
      <c r="M185" s="1">
        <v>214.82</v>
      </c>
      <c r="N185" s="1">
        <v>215.73</v>
      </c>
      <c r="O185" s="1" t="s">
        <v>61</v>
      </c>
      <c r="P185" s="1">
        <v>28.27</v>
      </c>
    </row>
    <row r="186" spans="1:16" ht="13" x14ac:dyDescent="0.3">
      <c r="A186" s="1" t="s">
        <v>251</v>
      </c>
      <c r="B186" s="2">
        <v>41763</v>
      </c>
      <c r="C186" s="1">
        <v>2014</v>
      </c>
      <c r="D186" s="1" t="s">
        <v>59</v>
      </c>
      <c r="E186" s="1" t="s">
        <v>93</v>
      </c>
      <c r="F186" s="1" t="s">
        <v>19</v>
      </c>
      <c r="G186" s="1" t="s">
        <v>20</v>
      </c>
      <c r="H186" s="1">
        <v>2.7</v>
      </c>
      <c r="I186" s="1">
        <v>15.87</v>
      </c>
      <c r="J186" s="1">
        <v>5878.94</v>
      </c>
      <c r="K186" s="1" t="s">
        <v>28</v>
      </c>
      <c r="L186" s="1" t="s">
        <v>41</v>
      </c>
      <c r="M186" s="1">
        <v>251.54</v>
      </c>
      <c r="N186" s="1">
        <v>1109.77</v>
      </c>
      <c r="O186" s="1" t="s">
        <v>23</v>
      </c>
      <c r="P186" s="1">
        <v>33.770000000000003</v>
      </c>
    </row>
    <row r="187" spans="1:16" ht="13" x14ac:dyDescent="0.3">
      <c r="A187" s="1" t="s">
        <v>252</v>
      </c>
      <c r="B187" s="2">
        <v>43600</v>
      </c>
      <c r="C187" s="1">
        <v>2019</v>
      </c>
      <c r="D187" s="1" t="s">
        <v>103</v>
      </c>
      <c r="E187" s="1" t="s">
        <v>104</v>
      </c>
      <c r="F187" s="1" t="s">
        <v>19</v>
      </c>
      <c r="G187" s="1" t="s">
        <v>20</v>
      </c>
      <c r="H187" s="1">
        <v>81.709999999999994</v>
      </c>
      <c r="I187" s="1">
        <v>212.77</v>
      </c>
      <c r="J187" s="1">
        <v>2603.9499999999998</v>
      </c>
      <c r="K187" s="1" t="s">
        <v>28</v>
      </c>
      <c r="L187" s="1" t="s">
        <v>41</v>
      </c>
      <c r="M187" s="1">
        <v>69.75</v>
      </c>
      <c r="N187" s="1">
        <v>1159.3</v>
      </c>
      <c r="O187" s="1" t="s">
        <v>52</v>
      </c>
      <c r="P187" s="1">
        <v>28.48</v>
      </c>
    </row>
    <row r="188" spans="1:16" ht="13" x14ac:dyDescent="0.3">
      <c r="A188" s="1" t="s">
        <v>253</v>
      </c>
      <c r="B188" s="2">
        <v>40639</v>
      </c>
      <c r="C188" s="1">
        <v>2011</v>
      </c>
      <c r="D188" s="1" t="s">
        <v>31</v>
      </c>
      <c r="E188" s="1" t="s">
        <v>117</v>
      </c>
      <c r="F188" s="1" t="s">
        <v>19</v>
      </c>
      <c r="G188" s="1" t="s">
        <v>39</v>
      </c>
      <c r="H188" s="1">
        <v>76.2</v>
      </c>
      <c r="I188" s="1">
        <v>118.95</v>
      </c>
      <c r="J188" s="1">
        <v>1561</v>
      </c>
      <c r="K188" s="1" t="s">
        <v>28</v>
      </c>
      <c r="L188" s="1" t="s">
        <v>29</v>
      </c>
      <c r="M188" s="1">
        <v>144.29</v>
      </c>
      <c r="N188" s="1">
        <v>676.01</v>
      </c>
      <c r="O188" s="1" t="s">
        <v>23</v>
      </c>
      <c r="P188" s="1">
        <v>30.54</v>
      </c>
    </row>
    <row r="189" spans="1:16" ht="13" x14ac:dyDescent="0.3">
      <c r="A189" s="1" t="s">
        <v>254</v>
      </c>
      <c r="B189" s="2">
        <v>44147</v>
      </c>
      <c r="C189" s="1">
        <v>2020</v>
      </c>
      <c r="D189" s="1" t="s">
        <v>44</v>
      </c>
      <c r="E189" s="1" t="s">
        <v>99</v>
      </c>
      <c r="F189" s="1" t="s">
        <v>38</v>
      </c>
      <c r="G189" s="1" t="s">
        <v>27</v>
      </c>
      <c r="H189" s="1">
        <v>97.76</v>
      </c>
      <c r="I189" s="1">
        <v>668.98</v>
      </c>
      <c r="J189" s="1">
        <v>6843.04</v>
      </c>
      <c r="K189" s="1" t="s">
        <v>21</v>
      </c>
      <c r="L189" s="1" t="s">
        <v>22</v>
      </c>
      <c r="M189" s="1">
        <v>107.44</v>
      </c>
      <c r="N189" s="1">
        <v>1101.27</v>
      </c>
      <c r="O189" s="1" t="s">
        <v>61</v>
      </c>
      <c r="P189" s="1">
        <v>27.13</v>
      </c>
    </row>
    <row r="190" spans="1:16" ht="13" x14ac:dyDescent="0.3">
      <c r="A190" s="1" t="s">
        <v>255</v>
      </c>
      <c r="B190" s="2">
        <v>43236</v>
      </c>
      <c r="C190" s="1">
        <v>2018</v>
      </c>
      <c r="D190" s="1" t="s">
        <v>17</v>
      </c>
      <c r="E190" s="1" t="s">
        <v>72</v>
      </c>
      <c r="F190" s="1" t="s">
        <v>19</v>
      </c>
      <c r="G190" s="1" t="s">
        <v>39</v>
      </c>
      <c r="H190" s="1">
        <v>4.26</v>
      </c>
      <c r="I190" s="1">
        <v>28</v>
      </c>
      <c r="J190" s="1">
        <v>6572.6</v>
      </c>
      <c r="K190" s="1" t="s">
        <v>34</v>
      </c>
      <c r="L190" s="1" t="s">
        <v>29</v>
      </c>
      <c r="M190" s="1">
        <v>53.91</v>
      </c>
      <c r="N190" s="1">
        <v>407.16</v>
      </c>
      <c r="O190" s="1" t="s">
        <v>42</v>
      </c>
      <c r="P190" s="1">
        <v>31.28</v>
      </c>
    </row>
    <row r="191" spans="1:16" ht="13" x14ac:dyDescent="0.3">
      <c r="A191" s="1" t="s">
        <v>256</v>
      </c>
      <c r="B191" s="2">
        <v>41022</v>
      </c>
      <c r="C191" s="1">
        <v>2012</v>
      </c>
      <c r="D191" s="1" t="s">
        <v>25</v>
      </c>
      <c r="E191" s="1" t="s">
        <v>87</v>
      </c>
      <c r="F191" s="1" t="s">
        <v>19</v>
      </c>
      <c r="G191" s="1" t="s">
        <v>56</v>
      </c>
      <c r="H191" s="1">
        <v>57.1</v>
      </c>
      <c r="I191" s="1">
        <v>348.12</v>
      </c>
      <c r="J191" s="1">
        <v>6096.65</v>
      </c>
      <c r="K191" s="1" t="s">
        <v>34</v>
      </c>
      <c r="L191" s="1" t="s">
        <v>22</v>
      </c>
      <c r="M191" s="1">
        <v>145.96</v>
      </c>
      <c r="N191" s="1">
        <v>939.75</v>
      </c>
      <c r="O191" s="1" t="s">
        <v>23</v>
      </c>
      <c r="P191" s="1">
        <v>27.51</v>
      </c>
    </row>
    <row r="192" spans="1:16" ht="13" x14ac:dyDescent="0.3">
      <c r="A192" s="1" t="s">
        <v>257</v>
      </c>
      <c r="B192" s="2">
        <v>41541</v>
      </c>
      <c r="C192" s="1">
        <v>2013</v>
      </c>
      <c r="D192" s="1" t="s">
        <v>25</v>
      </c>
      <c r="E192" s="1" t="s">
        <v>87</v>
      </c>
      <c r="F192" s="1" t="s">
        <v>33</v>
      </c>
      <c r="G192" s="1" t="s">
        <v>20</v>
      </c>
      <c r="H192" s="1">
        <v>60.91</v>
      </c>
      <c r="I192" s="1">
        <v>285.25</v>
      </c>
      <c r="J192" s="1">
        <v>4683.1899999999996</v>
      </c>
      <c r="K192" s="1" t="s">
        <v>28</v>
      </c>
      <c r="L192" s="1" t="s">
        <v>29</v>
      </c>
      <c r="M192" s="1">
        <v>292.23</v>
      </c>
      <c r="N192" s="1">
        <v>526.38</v>
      </c>
      <c r="O192" s="1" t="s">
        <v>70</v>
      </c>
      <c r="P192" s="1">
        <v>31.75</v>
      </c>
    </row>
    <row r="193" spans="1:16" ht="13" x14ac:dyDescent="0.3">
      <c r="A193" s="1" t="s">
        <v>258</v>
      </c>
      <c r="B193" s="2">
        <v>43426</v>
      </c>
      <c r="C193" s="1">
        <v>2018</v>
      </c>
      <c r="D193" s="1" t="s">
        <v>103</v>
      </c>
      <c r="E193" s="1" t="s">
        <v>107</v>
      </c>
      <c r="F193" s="1" t="s">
        <v>38</v>
      </c>
      <c r="G193" s="1" t="s">
        <v>46</v>
      </c>
      <c r="H193" s="1">
        <v>19.39</v>
      </c>
      <c r="I193" s="1">
        <v>87.55</v>
      </c>
      <c r="J193" s="1">
        <v>4515.25</v>
      </c>
      <c r="K193" s="1" t="s">
        <v>28</v>
      </c>
      <c r="L193" s="1" t="s">
        <v>49</v>
      </c>
      <c r="M193" s="1">
        <v>71.42</v>
      </c>
      <c r="N193" s="1">
        <v>818.62</v>
      </c>
      <c r="O193" s="1" t="s">
        <v>42</v>
      </c>
      <c r="P193" s="1">
        <v>30.7</v>
      </c>
    </row>
    <row r="194" spans="1:16" ht="13" x14ac:dyDescent="0.3">
      <c r="A194" s="1" t="s">
        <v>259</v>
      </c>
      <c r="B194" s="2">
        <v>44304</v>
      </c>
      <c r="C194" s="1">
        <v>2021</v>
      </c>
      <c r="D194" s="1" t="s">
        <v>103</v>
      </c>
      <c r="E194" s="1" t="s">
        <v>107</v>
      </c>
      <c r="F194" s="1" t="s">
        <v>19</v>
      </c>
      <c r="G194" s="1" t="s">
        <v>56</v>
      </c>
      <c r="H194" s="1">
        <v>74.23</v>
      </c>
      <c r="I194" s="1">
        <v>215.27</v>
      </c>
      <c r="J194" s="1">
        <v>2900.07</v>
      </c>
      <c r="K194" s="1" t="s">
        <v>21</v>
      </c>
      <c r="L194" s="1" t="s">
        <v>22</v>
      </c>
      <c r="M194" s="1">
        <v>72.88</v>
      </c>
      <c r="N194" s="1">
        <v>1142.96</v>
      </c>
      <c r="O194" s="1" t="s">
        <v>52</v>
      </c>
      <c r="P194" s="1">
        <v>25.4</v>
      </c>
    </row>
    <row r="195" spans="1:16" ht="13" x14ac:dyDescent="0.3">
      <c r="A195" s="1" t="s">
        <v>260</v>
      </c>
      <c r="B195" s="2">
        <v>41297</v>
      </c>
      <c r="C195" s="1">
        <v>2012</v>
      </c>
      <c r="D195" s="1" t="s">
        <v>103</v>
      </c>
      <c r="E195" s="1" t="s">
        <v>104</v>
      </c>
      <c r="F195" s="1" t="s">
        <v>38</v>
      </c>
      <c r="G195" s="1" t="s">
        <v>46</v>
      </c>
      <c r="H195" s="1">
        <v>56.14</v>
      </c>
      <c r="I195" s="1">
        <v>228.75</v>
      </c>
      <c r="J195" s="1">
        <v>4074.65</v>
      </c>
      <c r="K195" s="1" t="s">
        <v>21</v>
      </c>
      <c r="L195" s="1" t="s">
        <v>29</v>
      </c>
      <c r="M195" s="1">
        <v>56.57</v>
      </c>
      <c r="N195" s="1">
        <v>553.91</v>
      </c>
      <c r="O195" s="1" t="s">
        <v>23</v>
      </c>
      <c r="P195" s="1">
        <v>28.95</v>
      </c>
    </row>
    <row r="196" spans="1:16" ht="13" x14ac:dyDescent="0.3">
      <c r="A196" s="1" t="s">
        <v>261</v>
      </c>
      <c r="B196" s="2">
        <v>42743</v>
      </c>
      <c r="C196" s="1">
        <v>2016</v>
      </c>
      <c r="D196" s="1" t="s">
        <v>25</v>
      </c>
      <c r="E196" s="1" t="s">
        <v>87</v>
      </c>
      <c r="F196" s="1" t="s">
        <v>38</v>
      </c>
      <c r="G196" s="1" t="s">
        <v>64</v>
      </c>
      <c r="H196" s="1">
        <v>72.760000000000005</v>
      </c>
      <c r="I196" s="1">
        <v>317.02999999999997</v>
      </c>
      <c r="J196" s="1">
        <v>4357.22</v>
      </c>
      <c r="K196" s="1" t="s">
        <v>40</v>
      </c>
      <c r="L196" s="1" t="s">
        <v>49</v>
      </c>
      <c r="M196" s="1">
        <v>192.99</v>
      </c>
      <c r="N196" s="1">
        <v>369.58</v>
      </c>
      <c r="O196" s="1" t="s">
        <v>52</v>
      </c>
      <c r="P196" s="1">
        <v>22.54</v>
      </c>
    </row>
    <row r="197" spans="1:16" ht="13" x14ac:dyDescent="0.3">
      <c r="A197" s="1" t="s">
        <v>262</v>
      </c>
      <c r="B197" s="2">
        <v>41187</v>
      </c>
      <c r="C197" s="1">
        <v>2012</v>
      </c>
      <c r="D197" s="1" t="s">
        <v>31</v>
      </c>
      <c r="E197" s="1" t="s">
        <v>32</v>
      </c>
      <c r="F197" s="1" t="s">
        <v>33</v>
      </c>
      <c r="G197" s="1" t="s">
        <v>56</v>
      </c>
      <c r="H197" s="1">
        <v>44.03</v>
      </c>
      <c r="I197" s="1">
        <v>155.28</v>
      </c>
      <c r="J197" s="1">
        <v>3526.61</v>
      </c>
      <c r="K197" s="1" t="s">
        <v>28</v>
      </c>
      <c r="L197" s="1" t="s">
        <v>47</v>
      </c>
      <c r="M197" s="1">
        <v>245.67</v>
      </c>
      <c r="N197" s="1">
        <v>561.12</v>
      </c>
      <c r="O197" s="1" t="s">
        <v>42</v>
      </c>
      <c r="P197" s="1">
        <v>30.81</v>
      </c>
    </row>
    <row r="198" spans="1:16" ht="13" x14ac:dyDescent="0.3">
      <c r="A198" s="1" t="s">
        <v>263</v>
      </c>
      <c r="B198" s="2">
        <v>42997</v>
      </c>
      <c r="C198" s="1">
        <v>2017</v>
      </c>
      <c r="D198" s="1" t="s">
        <v>59</v>
      </c>
      <c r="E198" s="1" t="s">
        <v>60</v>
      </c>
      <c r="F198" s="1" t="s">
        <v>33</v>
      </c>
      <c r="G198" s="1" t="s">
        <v>56</v>
      </c>
      <c r="H198" s="1">
        <v>31.16</v>
      </c>
      <c r="I198" s="1">
        <v>208.55</v>
      </c>
      <c r="J198" s="1">
        <v>6692.94</v>
      </c>
      <c r="K198" s="1" t="s">
        <v>34</v>
      </c>
      <c r="L198" s="1" t="s">
        <v>47</v>
      </c>
      <c r="M198" s="1">
        <v>260.39999999999998</v>
      </c>
      <c r="N198" s="1">
        <v>579.89</v>
      </c>
      <c r="O198" s="1" t="s">
        <v>70</v>
      </c>
      <c r="P198" s="1">
        <v>26.6</v>
      </c>
    </row>
    <row r="199" spans="1:16" ht="13" x14ac:dyDescent="0.3">
      <c r="A199" s="1" t="s">
        <v>264</v>
      </c>
      <c r="B199" s="2">
        <v>42145</v>
      </c>
      <c r="C199" s="1">
        <v>2015</v>
      </c>
      <c r="D199" s="1" t="s">
        <v>103</v>
      </c>
      <c r="E199" s="1" t="s">
        <v>107</v>
      </c>
      <c r="F199" s="1" t="s">
        <v>19</v>
      </c>
      <c r="G199" s="1" t="s">
        <v>39</v>
      </c>
      <c r="H199" s="1">
        <v>20.88</v>
      </c>
      <c r="I199" s="1">
        <v>60.24</v>
      </c>
      <c r="J199" s="1">
        <v>2885.1</v>
      </c>
      <c r="K199" s="1" t="s">
        <v>28</v>
      </c>
      <c r="L199" s="1" t="s">
        <v>41</v>
      </c>
      <c r="M199" s="1">
        <v>292.18</v>
      </c>
      <c r="N199" s="1">
        <v>491.45</v>
      </c>
      <c r="O199" s="1" t="s">
        <v>52</v>
      </c>
      <c r="P199" s="1">
        <v>34.520000000000003</v>
      </c>
    </row>
    <row r="200" spans="1:16" ht="13" x14ac:dyDescent="0.3">
      <c r="A200" s="1" t="s">
        <v>265</v>
      </c>
      <c r="B200" s="2">
        <v>41997</v>
      </c>
      <c r="C200" s="1">
        <v>2014</v>
      </c>
      <c r="D200" s="1" t="s">
        <v>31</v>
      </c>
      <c r="E200" s="1" t="s">
        <v>32</v>
      </c>
      <c r="F200" s="1" t="s">
        <v>38</v>
      </c>
      <c r="G200" s="1" t="s">
        <v>20</v>
      </c>
      <c r="H200" s="1">
        <v>12.27</v>
      </c>
      <c r="I200" s="1">
        <v>53.78</v>
      </c>
      <c r="J200" s="1">
        <v>4383.1000000000004</v>
      </c>
      <c r="K200" s="1" t="s">
        <v>40</v>
      </c>
      <c r="L200" s="1" t="s">
        <v>29</v>
      </c>
      <c r="M200" s="1">
        <v>220.43</v>
      </c>
      <c r="N200" s="1">
        <v>750.1</v>
      </c>
      <c r="O200" s="1" t="s">
        <v>52</v>
      </c>
      <c r="P200" s="1">
        <v>34.14</v>
      </c>
    </row>
    <row r="201" spans="1:16" ht="13" x14ac:dyDescent="0.3">
      <c r="A201" s="1" t="s">
        <v>266</v>
      </c>
      <c r="B201" s="2">
        <v>44366</v>
      </c>
      <c r="C201" s="1">
        <v>2021</v>
      </c>
      <c r="D201" s="1" t="s">
        <v>44</v>
      </c>
      <c r="E201" s="1" t="s">
        <v>99</v>
      </c>
      <c r="F201" s="1" t="s">
        <v>33</v>
      </c>
      <c r="G201" s="1" t="s">
        <v>46</v>
      </c>
      <c r="H201" s="1">
        <v>67.62</v>
      </c>
      <c r="I201" s="1">
        <v>124.09</v>
      </c>
      <c r="J201" s="1">
        <v>1835.07</v>
      </c>
      <c r="K201" s="1" t="s">
        <v>34</v>
      </c>
      <c r="L201" s="1" t="s">
        <v>29</v>
      </c>
      <c r="M201" s="1">
        <v>110.51</v>
      </c>
      <c r="N201" s="1">
        <v>858.66</v>
      </c>
      <c r="O201" s="1" t="s">
        <v>52</v>
      </c>
      <c r="P201" s="1">
        <v>31.84</v>
      </c>
    </row>
    <row r="202" spans="1:16" ht="13" x14ac:dyDescent="0.3">
      <c r="A202" s="1" t="s">
        <v>267</v>
      </c>
      <c r="B202" s="2">
        <v>43907</v>
      </c>
      <c r="C202" s="1">
        <v>2019</v>
      </c>
      <c r="D202" s="1" t="s">
        <v>59</v>
      </c>
      <c r="E202" s="1" t="s">
        <v>63</v>
      </c>
      <c r="F202" s="1" t="s">
        <v>38</v>
      </c>
      <c r="G202" s="1" t="s">
        <v>27</v>
      </c>
      <c r="H202" s="1">
        <v>51.15</v>
      </c>
      <c r="I202" s="1">
        <v>333.62</v>
      </c>
      <c r="J202" s="1">
        <v>6522.35</v>
      </c>
      <c r="K202" s="1" t="s">
        <v>28</v>
      </c>
      <c r="L202" s="1" t="s">
        <v>47</v>
      </c>
      <c r="M202" s="1">
        <v>185.91</v>
      </c>
      <c r="N202" s="1">
        <v>990.72</v>
      </c>
      <c r="O202" s="1" t="s">
        <v>70</v>
      </c>
      <c r="P202" s="1">
        <v>30.52</v>
      </c>
    </row>
    <row r="203" spans="1:16" ht="13" x14ac:dyDescent="0.3">
      <c r="A203" s="1" t="s">
        <v>268</v>
      </c>
      <c r="B203" s="2">
        <v>40779</v>
      </c>
      <c r="C203" s="1">
        <v>2011</v>
      </c>
      <c r="D203" s="1" t="s">
        <v>17</v>
      </c>
      <c r="E203" s="1" t="s">
        <v>18</v>
      </c>
      <c r="F203" s="1" t="s">
        <v>33</v>
      </c>
      <c r="G203" s="1" t="s">
        <v>39</v>
      </c>
      <c r="H203" s="1">
        <v>66.8</v>
      </c>
      <c r="I203" s="1">
        <v>133.47</v>
      </c>
      <c r="J203" s="1">
        <v>1998.03</v>
      </c>
      <c r="K203" s="1" t="s">
        <v>21</v>
      </c>
      <c r="L203" s="1" t="s">
        <v>29</v>
      </c>
      <c r="M203" s="1">
        <v>190.81</v>
      </c>
      <c r="N203" s="1">
        <v>845.03</v>
      </c>
      <c r="O203" s="1" t="s">
        <v>52</v>
      </c>
      <c r="P203" s="1">
        <v>34.5</v>
      </c>
    </row>
    <row r="204" spans="1:16" ht="13" x14ac:dyDescent="0.3">
      <c r="A204" s="1" t="s">
        <v>269</v>
      </c>
      <c r="B204" s="2">
        <v>40886</v>
      </c>
      <c r="C204" s="1">
        <v>2011</v>
      </c>
      <c r="D204" s="1" t="s">
        <v>25</v>
      </c>
      <c r="E204" s="1" t="s">
        <v>26</v>
      </c>
      <c r="F204" s="1" t="s">
        <v>38</v>
      </c>
      <c r="G204" s="1" t="s">
        <v>56</v>
      </c>
      <c r="H204" s="1">
        <v>51.56</v>
      </c>
      <c r="I204" s="1">
        <v>212.06</v>
      </c>
      <c r="J204" s="1">
        <v>4112.79</v>
      </c>
      <c r="K204" s="1" t="s">
        <v>40</v>
      </c>
      <c r="L204" s="1" t="s">
        <v>49</v>
      </c>
      <c r="M204" s="1">
        <v>161.44</v>
      </c>
      <c r="N204" s="1">
        <v>591.13</v>
      </c>
      <c r="O204" s="1" t="s">
        <v>61</v>
      </c>
      <c r="P204" s="1">
        <v>30.36</v>
      </c>
    </row>
    <row r="205" spans="1:16" ht="13" x14ac:dyDescent="0.3">
      <c r="A205" s="1" t="s">
        <v>270</v>
      </c>
      <c r="B205" s="2">
        <v>40937</v>
      </c>
      <c r="C205" s="1">
        <v>2011</v>
      </c>
      <c r="D205" s="1" t="s">
        <v>25</v>
      </c>
      <c r="E205" s="1" t="s">
        <v>87</v>
      </c>
      <c r="F205" s="1" t="s">
        <v>38</v>
      </c>
      <c r="G205" s="1" t="s">
        <v>46</v>
      </c>
      <c r="H205" s="1">
        <v>92.13</v>
      </c>
      <c r="I205" s="1">
        <v>139.59</v>
      </c>
      <c r="J205" s="1">
        <v>1515.13</v>
      </c>
      <c r="K205" s="1" t="s">
        <v>40</v>
      </c>
      <c r="L205" s="1" t="s">
        <v>29</v>
      </c>
      <c r="M205" s="1">
        <v>137.08000000000001</v>
      </c>
      <c r="N205" s="1">
        <v>543.07000000000005</v>
      </c>
      <c r="O205" s="1" t="s">
        <v>42</v>
      </c>
      <c r="P205" s="1">
        <v>27.82</v>
      </c>
    </row>
    <row r="206" spans="1:16" ht="13" x14ac:dyDescent="0.3">
      <c r="A206" s="1" t="s">
        <v>271</v>
      </c>
      <c r="B206" s="2">
        <v>44297</v>
      </c>
      <c r="C206" s="1">
        <v>2021</v>
      </c>
      <c r="D206" s="1" t="s">
        <v>25</v>
      </c>
      <c r="E206" s="1" t="s">
        <v>87</v>
      </c>
      <c r="F206" s="1" t="s">
        <v>19</v>
      </c>
      <c r="G206" s="1" t="s">
        <v>46</v>
      </c>
      <c r="H206" s="1">
        <v>32.57</v>
      </c>
      <c r="I206" s="1">
        <v>91.25</v>
      </c>
      <c r="J206" s="1">
        <v>2801.58</v>
      </c>
      <c r="K206" s="1" t="s">
        <v>21</v>
      </c>
      <c r="L206" s="1" t="s">
        <v>41</v>
      </c>
      <c r="M206" s="1">
        <v>55.65</v>
      </c>
      <c r="N206" s="1">
        <v>543.08000000000004</v>
      </c>
      <c r="O206" s="1" t="s">
        <v>23</v>
      </c>
      <c r="P206" s="1">
        <v>30.16</v>
      </c>
    </row>
    <row r="207" spans="1:16" ht="13" x14ac:dyDescent="0.3">
      <c r="A207" s="1" t="s">
        <v>272</v>
      </c>
      <c r="B207" s="2">
        <v>43362</v>
      </c>
      <c r="C207" s="1">
        <v>2018</v>
      </c>
      <c r="D207" s="1" t="s">
        <v>59</v>
      </c>
      <c r="E207" s="1" t="s">
        <v>60</v>
      </c>
      <c r="F207" s="1" t="s">
        <v>33</v>
      </c>
      <c r="G207" s="1" t="s">
        <v>20</v>
      </c>
      <c r="H207" s="1">
        <v>56.43</v>
      </c>
      <c r="I207" s="1">
        <v>380.95</v>
      </c>
      <c r="J207" s="1">
        <v>6750.78</v>
      </c>
      <c r="K207" s="1" t="s">
        <v>40</v>
      </c>
      <c r="L207" s="1" t="s">
        <v>29</v>
      </c>
      <c r="M207" s="1">
        <v>249.44</v>
      </c>
      <c r="N207" s="1">
        <v>829.76</v>
      </c>
      <c r="O207" s="1" t="s">
        <v>42</v>
      </c>
      <c r="P207" s="1">
        <v>29.61</v>
      </c>
    </row>
    <row r="208" spans="1:16" ht="13" x14ac:dyDescent="0.3">
      <c r="A208" s="1" t="s">
        <v>273</v>
      </c>
      <c r="B208" s="2">
        <v>43754</v>
      </c>
      <c r="C208" s="1">
        <v>2019</v>
      </c>
      <c r="D208" s="1" t="s">
        <v>25</v>
      </c>
      <c r="E208" s="1" t="s">
        <v>69</v>
      </c>
      <c r="F208" s="1" t="s">
        <v>33</v>
      </c>
      <c r="G208" s="1" t="s">
        <v>46</v>
      </c>
      <c r="H208" s="1">
        <v>59.63</v>
      </c>
      <c r="I208" s="1">
        <v>198.75</v>
      </c>
      <c r="J208" s="1">
        <v>3333.01</v>
      </c>
      <c r="K208" s="1" t="s">
        <v>40</v>
      </c>
      <c r="L208" s="1" t="s">
        <v>41</v>
      </c>
      <c r="M208" s="1">
        <v>101.45</v>
      </c>
      <c r="N208" s="1">
        <v>952.33</v>
      </c>
      <c r="O208" s="1" t="s">
        <v>23</v>
      </c>
      <c r="P208" s="1">
        <v>28.66</v>
      </c>
    </row>
    <row r="209" spans="1:16" ht="13" x14ac:dyDescent="0.3">
      <c r="A209" s="1" t="s">
        <v>274</v>
      </c>
      <c r="B209" s="2">
        <v>41669</v>
      </c>
      <c r="C209" s="1">
        <v>2013</v>
      </c>
      <c r="D209" s="1" t="s">
        <v>31</v>
      </c>
      <c r="E209" s="1" t="s">
        <v>32</v>
      </c>
      <c r="F209" s="1" t="s">
        <v>38</v>
      </c>
      <c r="G209" s="1" t="s">
        <v>64</v>
      </c>
      <c r="H209" s="1">
        <v>26.97</v>
      </c>
      <c r="I209" s="1">
        <v>166.56</v>
      </c>
      <c r="J209" s="1">
        <v>6175.82</v>
      </c>
      <c r="K209" s="1" t="s">
        <v>34</v>
      </c>
      <c r="L209" s="1" t="s">
        <v>29</v>
      </c>
      <c r="M209" s="1">
        <v>199.24</v>
      </c>
      <c r="N209" s="1">
        <v>811.31</v>
      </c>
      <c r="O209" s="1" t="s">
        <v>61</v>
      </c>
      <c r="P209" s="1">
        <v>21.71</v>
      </c>
    </row>
    <row r="210" spans="1:16" ht="13" x14ac:dyDescent="0.3">
      <c r="A210" s="1" t="s">
        <v>275</v>
      </c>
      <c r="B210" s="2">
        <v>43966</v>
      </c>
      <c r="C210" s="1">
        <v>2020</v>
      </c>
      <c r="D210" s="1" t="s">
        <v>59</v>
      </c>
      <c r="E210" s="1" t="s">
        <v>60</v>
      </c>
      <c r="F210" s="1" t="s">
        <v>19</v>
      </c>
      <c r="G210" s="1" t="s">
        <v>20</v>
      </c>
      <c r="H210" s="1">
        <v>91.95</v>
      </c>
      <c r="I210" s="1">
        <v>417.55</v>
      </c>
      <c r="J210" s="1">
        <v>4541.01</v>
      </c>
      <c r="K210" s="1" t="s">
        <v>40</v>
      </c>
      <c r="L210" s="1" t="s">
        <v>41</v>
      </c>
      <c r="M210" s="1">
        <v>128.30000000000001</v>
      </c>
      <c r="N210" s="1">
        <v>438.57</v>
      </c>
      <c r="O210" s="1" t="s">
        <v>23</v>
      </c>
      <c r="P210" s="1">
        <v>22.75</v>
      </c>
    </row>
    <row r="211" spans="1:16" ht="13" x14ac:dyDescent="0.3">
      <c r="A211" s="1" t="s">
        <v>276</v>
      </c>
      <c r="B211" s="2">
        <v>42492</v>
      </c>
      <c r="C211" s="1">
        <v>2016</v>
      </c>
      <c r="D211" s="1" t="s">
        <v>59</v>
      </c>
      <c r="E211" s="1" t="s">
        <v>63</v>
      </c>
      <c r="F211" s="1" t="s">
        <v>19</v>
      </c>
      <c r="G211" s="1" t="s">
        <v>56</v>
      </c>
      <c r="H211" s="1">
        <v>57.91</v>
      </c>
      <c r="I211" s="1">
        <v>204.9</v>
      </c>
      <c r="J211" s="1">
        <v>3538.23</v>
      </c>
      <c r="K211" s="1" t="s">
        <v>28</v>
      </c>
      <c r="L211" s="1" t="s">
        <v>49</v>
      </c>
      <c r="M211" s="1">
        <v>208.88</v>
      </c>
      <c r="N211" s="1">
        <v>893.43</v>
      </c>
      <c r="O211" s="1" t="s">
        <v>42</v>
      </c>
      <c r="P211" s="1">
        <v>28.32</v>
      </c>
    </row>
    <row r="212" spans="1:16" ht="13" x14ac:dyDescent="0.3">
      <c r="A212" s="1" t="s">
        <v>277</v>
      </c>
      <c r="B212" s="2">
        <v>42438</v>
      </c>
      <c r="C212" s="1">
        <v>2015</v>
      </c>
      <c r="D212" s="1" t="s">
        <v>103</v>
      </c>
      <c r="E212" s="1" t="s">
        <v>104</v>
      </c>
      <c r="F212" s="1" t="s">
        <v>38</v>
      </c>
      <c r="G212" s="1" t="s">
        <v>27</v>
      </c>
      <c r="H212" s="1">
        <v>6.31</v>
      </c>
      <c r="I212" s="1">
        <v>19.899999999999999</v>
      </c>
      <c r="J212" s="1">
        <v>3154.24</v>
      </c>
      <c r="K212" s="1" t="s">
        <v>21</v>
      </c>
      <c r="L212" s="1" t="s">
        <v>29</v>
      </c>
      <c r="M212" s="1">
        <v>171.15</v>
      </c>
      <c r="N212" s="1">
        <v>395.13</v>
      </c>
      <c r="O212" s="1" t="s">
        <v>52</v>
      </c>
      <c r="P212" s="1">
        <v>34.46</v>
      </c>
    </row>
    <row r="213" spans="1:16" ht="13" x14ac:dyDescent="0.3">
      <c r="A213" s="1" t="s">
        <v>278</v>
      </c>
      <c r="B213" s="2">
        <v>43110</v>
      </c>
      <c r="C213" s="1">
        <v>2017</v>
      </c>
      <c r="D213" s="1" t="s">
        <v>36</v>
      </c>
      <c r="E213" s="1" t="s">
        <v>77</v>
      </c>
      <c r="F213" s="1" t="s">
        <v>38</v>
      </c>
      <c r="G213" s="1" t="s">
        <v>39</v>
      </c>
      <c r="H213" s="1">
        <v>84.15</v>
      </c>
      <c r="I213" s="1">
        <v>330.89</v>
      </c>
      <c r="J213" s="1">
        <v>3932.2</v>
      </c>
      <c r="K213" s="1" t="s">
        <v>21</v>
      </c>
      <c r="L213" s="1" t="s">
        <v>41</v>
      </c>
      <c r="M213" s="1">
        <v>191.35</v>
      </c>
      <c r="N213" s="1">
        <v>995.88</v>
      </c>
      <c r="O213" s="1" t="s">
        <v>42</v>
      </c>
      <c r="P213" s="1">
        <v>24.38</v>
      </c>
    </row>
    <row r="214" spans="1:16" ht="13" x14ac:dyDescent="0.3">
      <c r="A214" s="1" t="s">
        <v>279</v>
      </c>
      <c r="B214" s="2">
        <v>41307</v>
      </c>
      <c r="C214" s="1">
        <v>2012</v>
      </c>
      <c r="D214" s="1" t="s">
        <v>59</v>
      </c>
      <c r="E214" s="1" t="s">
        <v>63</v>
      </c>
      <c r="F214" s="1" t="s">
        <v>38</v>
      </c>
      <c r="G214" s="1" t="s">
        <v>27</v>
      </c>
      <c r="H214" s="1">
        <v>74.510000000000005</v>
      </c>
      <c r="I214" s="1">
        <v>416.92</v>
      </c>
      <c r="J214" s="1">
        <v>5595.52</v>
      </c>
      <c r="K214" s="1" t="s">
        <v>21</v>
      </c>
      <c r="L214" s="1" t="s">
        <v>47</v>
      </c>
      <c r="M214" s="1">
        <v>193.18</v>
      </c>
      <c r="N214" s="1">
        <v>467.89</v>
      </c>
      <c r="O214" s="1" t="s">
        <v>61</v>
      </c>
      <c r="P214" s="1">
        <v>32.35</v>
      </c>
    </row>
    <row r="215" spans="1:16" ht="13" x14ac:dyDescent="0.3">
      <c r="A215" s="1" t="s">
        <v>280</v>
      </c>
      <c r="B215" s="2">
        <v>44654</v>
      </c>
      <c r="C215" s="1">
        <v>2022</v>
      </c>
      <c r="D215" s="1" t="s">
        <v>44</v>
      </c>
      <c r="E215" s="1" t="s">
        <v>45</v>
      </c>
      <c r="F215" s="1" t="s">
        <v>19</v>
      </c>
      <c r="G215" s="1" t="s">
        <v>46</v>
      </c>
      <c r="H215" s="1">
        <v>55.09</v>
      </c>
      <c r="I215" s="1">
        <v>382.25</v>
      </c>
      <c r="J215" s="1">
        <v>6938.65</v>
      </c>
      <c r="K215" s="1" t="s">
        <v>21</v>
      </c>
      <c r="L215" s="1" t="s">
        <v>29</v>
      </c>
      <c r="M215" s="1">
        <v>234</v>
      </c>
      <c r="N215" s="1">
        <v>853.67</v>
      </c>
      <c r="O215" s="1" t="s">
        <v>42</v>
      </c>
      <c r="P215" s="1">
        <v>24.47</v>
      </c>
    </row>
    <row r="216" spans="1:16" ht="13" x14ac:dyDescent="0.3">
      <c r="A216" s="1" t="s">
        <v>281</v>
      </c>
      <c r="B216" s="2">
        <v>40883</v>
      </c>
      <c r="C216" s="1">
        <v>2011</v>
      </c>
      <c r="D216" s="1" t="s">
        <v>31</v>
      </c>
      <c r="E216" s="1" t="s">
        <v>32</v>
      </c>
      <c r="F216" s="1" t="s">
        <v>38</v>
      </c>
      <c r="G216" s="1" t="s">
        <v>64</v>
      </c>
      <c r="H216" s="1">
        <v>77.790000000000006</v>
      </c>
      <c r="I216" s="1">
        <v>188.38</v>
      </c>
      <c r="J216" s="1">
        <v>2421.6799999999998</v>
      </c>
      <c r="K216" s="1" t="s">
        <v>34</v>
      </c>
      <c r="L216" s="1" t="s">
        <v>41</v>
      </c>
      <c r="M216" s="1">
        <v>265.26</v>
      </c>
      <c r="N216" s="1">
        <v>810.26</v>
      </c>
      <c r="O216" s="1" t="s">
        <v>52</v>
      </c>
      <c r="P216" s="1">
        <v>22.49</v>
      </c>
    </row>
    <row r="217" spans="1:16" ht="13" x14ac:dyDescent="0.3">
      <c r="A217" s="1" t="s">
        <v>282</v>
      </c>
      <c r="B217" s="2">
        <v>44844</v>
      </c>
      <c r="C217" s="1">
        <v>2022</v>
      </c>
      <c r="D217" s="1" t="s">
        <v>44</v>
      </c>
      <c r="E217" s="1" t="s">
        <v>45</v>
      </c>
      <c r="F217" s="1" t="s">
        <v>33</v>
      </c>
      <c r="G217" s="1" t="s">
        <v>27</v>
      </c>
      <c r="H217" s="1">
        <v>35.729999999999997</v>
      </c>
      <c r="I217" s="1">
        <v>95.99</v>
      </c>
      <c r="J217" s="1">
        <v>2686.51</v>
      </c>
      <c r="K217" s="1" t="s">
        <v>40</v>
      </c>
      <c r="L217" s="1" t="s">
        <v>22</v>
      </c>
      <c r="M217" s="1">
        <v>130.91</v>
      </c>
      <c r="N217" s="1">
        <v>904.05</v>
      </c>
      <c r="O217" s="1" t="s">
        <v>70</v>
      </c>
      <c r="P217" s="1">
        <v>28.59</v>
      </c>
    </row>
    <row r="218" spans="1:16" ht="13" x14ac:dyDescent="0.3">
      <c r="A218" s="1" t="s">
        <v>283</v>
      </c>
      <c r="B218" s="2">
        <v>40583</v>
      </c>
      <c r="C218" s="1">
        <v>2010</v>
      </c>
      <c r="D218" s="1" t="s">
        <v>103</v>
      </c>
      <c r="E218" s="1" t="s">
        <v>107</v>
      </c>
      <c r="F218" s="1" t="s">
        <v>38</v>
      </c>
      <c r="G218" s="1" t="s">
        <v>39</v>
      </c>
      <c r="H218" s="1">
        <v>13.56</v>
      </c>
      <c r="I218" s="1">
        <v>84.02</v>
      </c>
      <c r="J218" s="1">
        <v>6196.47</v>
      </c>
      <c r="K218" s="1" t="s">
        <v>40</v>
      </c>
      <c r="L218" s="1" t="s">
        <v>29</v>
      </c>
      <c r="M218" s="1">
        <v>86.56</v>
      </c>
      <c r="N218" s="1">
        <v>522.1</v>
      </c>
      <c r="O218" s="1" t="s">
        <v>42</v>
      </c>
      <c r="P218" s="1">
        <v>31.42</v>
      </c>
    </row>
    <row r="219" spans="1:16" ht="13" x14ac:dyDescent="0.3">
      <c r="A219" s="1" t="s">
        <v>284</v>
      </c>
      <c r="B219" s="2">
        <v>44260</v>
      </c>
      <c r="C219" s="1">
        <v>2020</v>
      </c>
      <c r="D219" s="1" t="s">
        <v>103</v>
      </c>
      <c r="E219" s="1" t="s">
        <v>228</v>
      </c>
      <c r="F219" s="1" t="s">
        <v>38</v>
      </c>
      <c r="G219" s="1" t="s">
        <v>39</v>
      </c>
      <c r="H219" s="1">
        <v>42.01</v>
      </c>
      <c r="I219" s="1">
        <v>155.94</v>
      </c>
      <c r="J219" s="1">
        <v>3711.95</v>
      </c>
      <c r="K219" s="1" t="s">
        <v>21</v>
      </c>
      <c r="L219" s="1" t="s">
        <v>49</v>
      </c>
      <c r="M219" s="1">
        <v>150.71</v>
      </c>
      <c r="N219" s="1">
        <v>949.8</v>
      </c>
      <c r="O219" s="1" t="s">
        <v>70</v>
      </c>
      <c r="P219" s="1">
        <v>26.82</v>
      </c>
    </row>
    <row r="220" spans="1:16" ht="13" x14ac:dyDescent="0.3">
      <c r="A220" s="1" t="s">
        <v>285</v>
      </c>
      <c r="B220" s="2">
        <v>44679</v>
      </c>
      <c r="C220" s="1">
        <v>2022</v>
      </c>
      <c r="D220" s="1" t="s">
        <v>59</v>
      </c>
      <c r="E220" s="1" t="s">
        <v>60</v>
      </c>
      <c r="F220" s="1" t="s">
        <v>19</v>
      </c>
      <c r="G220" s="1" t="s">
        <v>64</v>
      </c>
      <c r="H220" s="1">
        <v>73.36</v>
      </c>
      <c r="I220" s="1">
        <v>275.14999999999998</v>
      </c>
      <c r="J220" s="1">
        <v>3750.7</v>
      </c>
      <c r="K220" s="1" t="s">
        <v>34</v>
      </c>
      <c r="L220" s="1" t="s">
        <v>41</v>
      </c>
      <c r="M220" s="1">
        <v>262.52999999999997</v>
      </c>
      <c r="N220" s="1">
        <v>995.68</v>
      </c>
      <c r="O220" s="1" t="s">
        <v>52</v>
      </c>
      <c r="P220" s="1">
        <v>23.27</v>
      </c>
    </row>
    <row r="221" spans="1:16" ht="13" x14ac:dyDescent="0.3">
      <c r="A221" s="1" t="s">
        <v>286</v>
      </c>
      <c r="B221" s="2">
        <v>42426</v>
      </c>
      <c r="C221" s="1">
        <v>2015</v>
      </c>
      <c r="D221" s="1" t="s">
        <v>36</v>
      </c>
      <c r="E221" s="1" t="s">
        <v>51</v>
      </c>
      <c r="F221" s="1" t="s">
        <v>38</v>
      </c>
      <c r="G221" s="1" t="s">
        <v>20</v>
      </c>
      <c r="H221" s="1">
        <v>55.18</v>
      </c>
      <c r="I221" s="1">
        <v>98.42</v>
      </c>
      <c r="J221" s="1">
        <v>1783.57</v>
      </c>
      <c r="K221" s="1" t="s">
        <v>28</v>
      </c>
      <c r="L221" s="1" t="s">
        <v>22</v>
      </c>
      <c r="M221" s="1">
        <v>247.08</v>
      </c>
      <c r="N221" s="1">
        <v>1094.1500000000001</v>
      </c>
      <c r="O221" s="1" t="s">
        <v>23</v>
      </c>
      <c r="P221" s="1">
        <v>20.69</v>
      </c>
    </row>
    <row r="222" spans="1:16" ht="13" x14ac:dyDescent="0.3">
      <c r="A222" s="1" t="s">
        <v>287</v>
      </c>
      <c r="B222" s="2">
        <v>43132</v>
      </c>
      <c r="C222" s="1">
        <v>2017</v>
      </c>
      <c r="D222" s="1" t="s">
        <v>25</v>
      </c>
      <c r="E222" s="1" t="s">
        <v>26</v>
      </c>
      <c r="F222" s="1" t="s">
        <v>38</v>
      </c>
      <c r="G222" s="1" t="s">
        <v>64</v>
      </c>
      <c r="H222" s="1">
        <v>99.19</v>
      </c>
      <c r="I222" s="1">
        <v>353.79</v>
      </c>
      <c r="J222" s="1">
        <v>3566.8</v>
      </c>
      <c r="K222" s="1" t="s">
        <v>40</v>
      </c>
      <c r="L222" s="1" t="s">
        <v>49</v>
      </c>
      <c r="M222" s="1">
        <v>270.54000000000002</v>
      </c>
      <c r="N222" s="1">
        <v>501.87</v>
      </c>
      <c r="O222" s="1" t="s">
        <v>70</v>
      </c>
      <c r="P222" s="1">
        <v>21.4</v>
      </c>
    </row>
    <row r="223" spans="1:16" ht="13" x14ac:dyDescent="0.3">
      <c r="A223" s="1" t="s">
        <v>288</v>
      </c>
      <c r="B223" s="2">
        <v>43952</v>
      </c>
      <c r="C223" s="1">
        <v>2020</v>
      </c>
      <c r="D223" s="1" t="s">
        <v>25</v>
      </c>
      <c r="E223" s="1" t="s">
        <v>87</v>
      </c>
      <c r="F223" s="1" t="s">
        <v>19</v>
      </c>
      <c r="G223" s="1" t="s">
        <v>56</v>
      </c>
      <c r="H223" s="1">
        <v>6.13</v>
      </c>
      <c r="I223" s="1">
        <v>29.14</v>
      </c>
      <c r="J223" s="1">
        <v>4753.63</v>
      </c>
      <c r="K223" s="1" t="s">
        <v>40</v>
      </c>
      <c r="L223" s="1" t="s">
        <v>22</v>
      </c>
      <c r="M223" s="1">
        <v>157.31</v>
      </c>
      <c r="N223" s="1">
        <v>291.2</v>
      </c>
      <c r="O223" s="1" t="s">
        <v>23</v>
      </c>
      <c r="P223" s="1">
        <v>20.02</v>
      </c>
    </row>
    <row r="224" spans="1:16" ht="13" x14ac:dyDescent="0.3">
      <c r="A224" s="1" t="s">
        <v>289</v>
      </c>
      <c r="B224" s="2">
        <v>41395</v>
      </c>
      <c r="C224" s="1">
        <v>2013</v>
      </c>
      <c r="D224" s="1" t="s">
        <v>103</v>
      </c>
      <c r="E224" s="1" t="s">
        <v>228</v>
      </c>
      <c r="F224" s="1" t="s">
        <v>19</v>
      </c>
      <c r="G224" s="1" t="s">
        <v>39</v>
      </c>
      <c r="H224" s="1">
        <v>45.06</v>
      </c>
      <c r="I224" s="1">
        <v>47.24</v>
      </c>
      <c r="J224" s="1">
        <v>1048.3800000000001</v>
      </c>
      <c r="K224" s="1" t="s">
        <v>34</v>
      </c>
      <c r="L224" s="1" t="s">
        <v>22</v>
      </c>
      <c r="M224" s="1">
        <v>254.28</v>
      </c>
      <c r="N224" s="1">
        <v>1188.1500000000001</v>
      </c>
      <c r="O224" s="1" t="s">
        <v>52</v>
      </c>
      <c r="P224" s="1">
        <v>30.41</v>
      </c>
    </row>
    <row r="225" spans="1:16" ht="13" x14ac:dyDescent="0.3">
      <c r="A225" s="1" t="s">
        <v>290</v>
      </c>
      <c r="B225" s="2">
        <v>40677</v>
      </c>
      <c r="C225" s="1">
        <v>2011</v>
      </c>
      <c r="D225" s="1" t="s">
        <v>103</v>
      </c>
      <c r="E225" s="1" t="s">
        <v>107</v>
      </c>
      <c r="F225" s="1" t="s">
        <v>19</v>
      </c>
      <c r="G225" s="1" t="s">
        <v>64</v>
      </c>
      <c r="H225" s="1">
        <v>11.22</v>
      </c>
      <c r="I225" s="1">
        <v>35.96</v>
      </c>
      <c r="J225" s="1">
        <v>3205.37</v>
      </c>
      <c r="K225" s="1" t="s">
        <v>34</v>
      </c>
      <c r="L225" s="1" t="s">
        <v>41</v>
      </c>
      <c r="M225" s="1">
        <v>84.28</v>
      </c>
      <c r="N225" s="1">
        <v>973.46</v>
      </c>
      <c r="O225" s="1" t="s">
        <v>42</v>
      </c>
      <c r="P225" s="1">
        <v>29.62</v>
      </c>
    </row>
    <row r="226" spans="1:16" ht="13" x14ac:dyDescent="0.3">
      <c r="A226" s="1" t="s">
        <v>291</v>
      </c>
      <c r="B226" s="2">
        <v>43730</v>
      </c>
      <c r="C226" s="1">
        <v>2019</v>
      </c>
      <c r="D226" s="1" t="s">
        <v>25</v>
      </c>
      <c r="E226" s="1" t="s">
        <v>69</v>
      </c>
      <c r="F226" s="1" t="s">
        <v>33</v>
      </c>
      <c r="G226" s="1" t="s">
        <v>27</v>
      </c>
      <c r="H226" s="1">
        <v>65.349999999999994</v>
      </c>
      <c r="I226" s="1">
        <v>237.91</v>
      </c>
      <c r="J226" s="1">
        <v>3640.6</v>
      </c>
      <c r="K226" s="1" t="s">
        <v>40</v>
      </c>
      <c r="L226" s="1" t="s">
        <v>41</v>
      </c>
      <c r="M226" s="1">
        <v>207.02</v>
      </c>
      <c r="N226" s="1">
        <v>351.37</v>
      </c>
      <c r="O226" s="1" t="s">
        <v>52</v>
      </c>
      <c r="P226" s="1">
        <v>29.24</v>
      </c>
    </row>
    <row r="227" spans="1:16" ht="13" x14ac:dyDescent="0.3">
      <c r="A227" s="1" t="s">
        <v>292</v>
      </c>
      <c r="B227" s="2">
        <v>41124</v>
      </c>
      <c r="C227" s="1">
        <v>2012</v>
      </c>
      <c r="D227" s="1" t="s">
        <v>25</v>
      </c>
      <c r="E227" s="1" t="s">
        <v>26</v>
      </c>
      <c r="F227" s="1" t="s">
        <v>33</v>
      </c>
      <c r="G227" s="1" t="s">
        <v>27</v>
      </c>
      <c r="H227" s="1">
        <v>73.27</v>
      </c>
      <c r="I227" s="1">
        <v>227.81</v>
      </c>
      <c r="J227" s="1">
        <v>3109.21</v>
      </c>
      <c r="K227" s="1" t="s">
        <v>28</v>
      </c>
      <c r="L227" s="1" t="s">
        <v>47</v>
      </c>
      <c r="M227" s="1">
        <v>128.63</v>
      </c>
      <c r="N227" s="1">
        <v>339.83</v>
      </c>
      <c r="O227" s="1" t="s">
        <v>70</v>
      </c>
      <c r="P227" s="1">
        <v>29.67</v>
      </c>
    </row>
    <row r="228" spans="1:16" ht="13" x14ac:dyDescent="0.3">
      <c r="A228" s="1" t="s">
        <v>293</v>
      </c>
      <c r="B228" s="2">
        <v>44305</v>
      </c>
      <c r="C228" s="1">
        <v>2021</v>
      </c>
      <c r="D228" s="1" t="s">
        <v>59</v>
      </c>
      <c r="E228" s="1" t="s">
        <v>93</v>
      </c>
      <c r="F228" s="1" t="s">
        <v>19</v>
      </c>
      <c r="G228" s="1" t="s">
        <v>20</v>
      </c>
      <c r="H228" s="1">
        <v>78.12</v>
      </c>
      <c r="I228" s="1">
        <v>401.76</v>
      </c>
      <c r="J228" s="1">
        <v>5142.8599999999997</v>
      </c>
      <c r="K228" s="1" t="s">
        <v>34</v>
      </c>
      <c r="L228" s="1" t="s">
        <v>22</v>
      </c>
      <c r="M228" s="1">
        <v>101.36</v>
      </c>
      <c r="N228" s="1">
        <v>806.93</v>
      </c>
      <c r="O228" s="1" t="s">
        <v>42</v>
      </c>
      <c r="P228" s="1">
        <v>31.22</v>
      </c>
    </row>
    <row r="229" spans="1:16" ht="13" x14ac:dyDescent="0.3">
      <c r="A229" s="1" t="s">
        <v>294</v>
      </c>
      <c r="B229" s="2">
        <v>43073</v>
      </c>
      <c r="C229" s="1">
        <v>2017</v>
      </c>
      <c r="D229" s="1" t="s">
        <v>44</v>
      </c>
      <c r="E229" s="1" t="s">
        <v>45</v>
      </c>
      <c r="F229" s="1" t="s">
        <v>38</v>
      </c>
      <c r="G229" s="1" t="s">
        <v>64</v>
      </c>
      <c r="H229" s="1">
        <v>24.87</v>
      </c>
      <c r="I229" s="1">
        <v>120.08</v>
      </c>
      <c r="J229" s="1">
        <v>4828.49</v>
      </c>
      <c r="K229" s="1" t="s">
        <v>21</v>
      </c>
      <c r="L229" s="1" t="s">
        <v>29</v>
      </c>
      <c r="M229" s="1">
        <v>182.07</v>
      </c>
      <c r="N229" s="1">
        <v>1177.7</v>
      </c>
      <c r="O229" s="1" t="s">
        <v>70</v>
      </c>
      <c r="P229" s="1">
        <v>34.01</v>
      </c>
    </row>
    <row r="230" spans="1:16" ht="13" x14ac:dyDescent="0.3">
      <c r="A230" s="1" t="s">
        <v>295</v>
      </c>
      <c r="B230" s="2">
        <v>42690</v>
      </c>
      <c r="C230" s="1">
        <v>2016</v>
      </c>
      <c r="D230" s="1" t="s">
        <v>44</v>
      </c>
      <c r="E230" s="1" t="s">
        <v>67</v>
      </c>
      <c r="F230" s="1" t="s">
        <v>38</v>
      </c>
      <c r="G230" s="1" t="s">
        <v>27</v>
      </c>
      <c r="H230" s="1">
        <v>68.61</v>
      </c>
      <c r="I230" s="1">
        <v>382.59</v>
      </c>
      <c r="J230" s="1">
        <v>5576.36</v>
      </c>
      <c r="K230" s="1" t="s">
        <v>21</v>
      </c>
      <c r="L230" s="1" t="s">
        <v>29</v>
      </c>
      <c r="M230" s="1">
        <v>54.17</v>
      </c>
      <c r="N230" s="1">
        <v>267.52999999999997</v>
      </c>
      <c r="O230" s="1" t="s">
        <v>70</v>
      </c>
      <c r="P230" s="1">
        <v>23.24</v>
      </c>
    </row>
    <row r="231" spans="1:16" ht="13" x14ac:dyDescent="0.3">
      <c r="A231" s="1" t="s">
        <v>296</v>
      </c>
      <c r="B231" s="2">
        <v>43927</v>
      </c>
      <c r="C231" s="1">
        <v>2020</v>
      </c>
      <c r="D231" s="1" t="s">
        <v>59</v>
      </c>
      <c r="E231" s="1" t="s">
        <v>63</v>
      </c>
      <c r="F231" s="1" t="s">
        <v>19</v>
      </c>
      <c r="G231" s="1" t="s">
        <v>27</v>
      </c>
      <c r="H231" s="1">
        <v>76.94</v>
      </c>
      <c r="I231" s="1">
        <v>272.48</v>
      </c>
      <c r="J231" s="1">
        <v>3541.45</v>
      </c>
      <c r="K231" s="1" t="s">
        <v>28</v>
      </c>
      <c r="L231" s="1" t="s">
        <v>49</v>
      </c>
      <c r="M231" s="1">
        <v>70.61</v>
      </c>
      <c r="N231" s="1">
        <v>736.56</v>
      </c>
      <c r="O231" s="1" t="s">
        <v>61</v>
      </c>
      <c r="P231" s="1">
        <v>22.29</v>
      </c>
    </row>
    <row r="232" spans="1:16" ht="13" x14ac:dyDescent="0.3">
      <c r="A232" s="1" t="s">
        <v>297</v>
      </c>
      <c r="B232" s="2">
        <v>41448</v>
      </c>
      <c r="C232" s="1">
        <v>2013</v>
      </c>
      <c r="D232" s="1" t="s">
        <v>25</v>
      </c>
      <c r="E232" s="1" t="s">
        <v>69</v>
      </c>
      <c r="F232" s="1" t="s">
        <v>33</v>
      </c>
      <c r="G232" s="1" t="s">
        <v>27</v>
      </c>
      <c r="H232" s="1">
        <v>33.35</v>
      </c>
      <c r="I232" s="1">
        <v>150.69999999999999</v>
      </c>
      <c r="J232" s="1">
        <v>4518.62</v>
      </c>
      <c r="K232" s="1" t="s">
        <v>21</v>
      </c>
      <c r="L232" s="1" t="s">
        <v>29</v>
      </c>
      <c r="M232" s="1">
        <v>127.54</v>
      </c>
      <c r="N232" s="1">
        <v>637.49</v>
      </c>
      <c r="O232" s="1" t="s">
        <v>42</v>
      </c>
      <c r="P232" s="1">
        <v>20.87</v>
      </c>
    </row>
    <row r="233" spans="1:16" ht="13" x14ac:dyDescent="0.3">
      <c r="A233" s="1" t="s">
        <v>298</v>
      </c>
      <c r="B233" s="2">
        <v>43616</v>
      </c>
      <c r="C233" s="1">
        <v>2019</v>
      </c>
      <c r="D233" s="1" t="s">
        <v>25</v>
      </c>
      <c r="E233" s="1" t="s">
        <v>87</v>
      </c>
      <c r="F233" s="1" t="s">
        <v>19</v>
      </c>
      <c r="G233" s="1" t="s">
        <v>64</v>
      </c>
      <c r="H233" s="1">
        <v>31.62</v>
      </c>
      <c r="I233" s="1">
        <v>172.33</v>
      </c>
      <c r="J233" s="1">
        <v>5450.16</v>
      </c>
      <c r="K233" s="1" t="s">
        <v>40</v>
      </c>
      <c r="L233" s="1" t="s">
        <v>49</v>
      </c>
      <c r="M233" s="1">
        <v>79.86</v>
      </c>
      <c r="N233" s="1">
        <v>907.9</v>
      </c>
      <c r="O233" s="1" t="s">
        <v>23</v>
      </c>
      <c r="P233" s="1">
        <v>22.46</v>
      </c>
    </row>
    <row r="234" spans="1:16" ht="13" x14ac:dyDescent="0.3">
      <c r="A234" s="1" t="s">
        <v>299</v>
      </c>
      <c r="B234" s="2">
        <v>44679</v>
      </c>
      <c r="C234" s="1">
        <v>2022</v>
      </c>
      <c r="D234" s="1" t="s">
        <v>59</v>
      </c>
      <c r="E234" s="1" t="s">
        <v>93</v>
      </c>
      <c r="F234" s="1" t="s">
        <v>19</v>
      </c>
      <c r="G234" s="1" t="s">
        <v>20</v>
      </c>
      <c r="H234" s="1">
        <v>17.53</v>
      </c>
      <c r="I234" s="1">
        <v>30.88</v>
      </c>
      <c r="J234" s="1">
        <v>1761.58</v>
      </c>
      <c r="K234" s="1" t="s">
        <v>34</v>
      </c>
      <c r="L234" s="1" t="s">
        <v>49</v>
      </c>
      <c r="M234" s="1">
        <v>233.23</v>
      </c>
      <c r="N234" s="1">
        <v>318.06</v>
      </c>
      <c r="O234" s="1" t="s">
        <v>23</v>
      </c>
      <c r="P234" s="1">
        <v>25.03</v>
      </c>
    </row>
    <row r="235" spans="1:16" ht="13" x14ac:dyDescent="0.3">
      <c r="A235" s="1" t="s">
        <v>300</v>
      </c>
      <c r="B235" s="2">
        <v>41746</v>
      </c>
      <c r="C235" s="1">
        <v>2014</v>
      </c>
      <c r="D235" s="1" t="s">
        <v>59</v>
      </c>
      <c r="E235" s="1" t="s">
        <v>60</v>
      </c>
      <c r="F235" s="1" t="s">
        <v>19</v>
      </c>
      <c r="G235" s="1" t="s">
        <v>27</v>
      </c>
      <c r="H235" s="1">
        <v>63.13</v>
      </c>
      <c r="I235" s="1">
        <v>251.06</v>
      </c>
      <c r="J235" s="1">
        <v>3976.89</v>
      </c>
      <c r="K235" s="1" t="s">
        <v>34</v>
      </c>
      <c r="L235" s="1" t="s">
        <v>22</v>
      </c>
      <c r="M235" s="1">
        <v>63.86</v>
      </c>
      <c r="N235" s="1">
        <v>1059.3599999999999</v>
      </c>
      <c r="O235" s="1" t="s">
        <v>42</v>
      </c>
      <c r="P235" s="1">
        <v>25.52</v>
      </c>
    </row>
    <row r="236" spans="1:16" ht="13" x14ac:dyDescent="0.3">
      <c r="A236" s="1" t="s">
        <v>301</v>
      </c>
      <c r="B236" s="2">
        <v>44393</v>
      </c>
      <c r="C236" s="1">
        <v>2021</v>
      </c>
      <c r="D236" s="1" t="s">
        <v>59</v>
      </c>
      <c r="E236" s="1" t="s">
        <v>93</v>
      </c>
      <c r="F236" s="1" t="s">
        <v>33</v>
      </c>
      <c r="G236" s="1" t="s">
        <v>56</v>
      </c>
      <c r="H236" s="1">
        <v>74.34</v>
      </c>
      <c r="I236" s="1">
        <v>75.489999999999995</v>
      </c>
      <c r="J236" s="1">
        <v>1015.41</v>
      </c>
      <c r="K236" s="1" t="s">
        <v>21</v>
      </c>
      <c r="L236" s="1" t="s">
        <v>22</v>
      </c>
      <c r="M236" s="1">
        <v>111.14</v>
      </c>
      <c r="N236" s="1">
        <v>671.76</v>
      </c>
      <c r="O236" s="1" t="s">
        <v>52</v>
      </c>
      <c r="P236" s="1">
        <v>33.799999999999997</v>
      </c>
    </row>
    <row r="237" spans="1:16" ht="13" x14ac:dyDescent="0.3">
      <c r="A237" s="1" t="s">
        <v>302</v>
      </c>
      <c r="B237" s="2">
        <v>44330</v>
      </c>
      <c r="C237" s="1">
        <v>2021</v>
      </c>
      <c r="D237" s="1" t="s">
        <v>59</v>
      </c>
      <c r="E237" s="1" t="s">
        <v>93</v>
      </c>
      <c r="F237" s="1" t="s">
        <v>19</v>
      </c>
      <c r="G237" s="1" t="s">
        <v>46</v>
      </c>
      <c r="H237" s="1">
        <v>23.23</v>
      </c>
      <c r="I237" s="1">
        <v>57.83</v>
      </c>
      <c r="J237" s="1">
        <v>2489.58</v>
      </c>
      <c r="K237" s="1" t="s">
        <v>34</v>
      </c>
      <c r="L237" s="1" t="s">
        <v>22</v>
      </c>
      <c r="M237" s="1">
        <v>117.81</v>
      </c>
      <c r="N237" s="1">
        <v>277.89</v>
      </c>
      <c r="O237" s="1" t="s">
        <v>70</v>
      </c>
      <c r="P237" s="1">
        <v>21.79</v>
      </c>
    </row>
    <row r="238" spans="1:16" ht="13" x14ac:dyDescent="0.3">
      <c r="A238" s="1" t="s">
        <v>303</v>
      </c>
      <c r="B238" s="2">
        <v>44687</v>
      </c>
      <c r="C238" s="1">
        <v>2022</v>
      </c>
      <c r="D238" s="1" t="s">
        <v>103</v>
      </c>
      <c r="E238" s="1" t="s">
        <v>104</v>
      </c>
      <c r="F238" s="1" t="s">
        <v>19</v>
      </c>
      <c r="G238" s="1" t="s">
        <v>64</v>
      </c>
      <c r="H238" s="1">
        <v>95.45</v>
      </c>
      <c r="I238" s="1">
        <v>134.91999999999999</v>
      </c>
      <c r="J238" s="1">
        <v>1413.56</v>
      </c>
      <c r="K238" s="1" t="s">
        <v>28</v>
      </c>
      <c r="L238" s="1" t="s">
        <v>29</v>
      </c>
      <c r="M238" s="1">
        <v>266.51</v>
      </c>
      <c r="N238" s="1">
        <v>973.53</v>
      </c>
      <c r="O238" s="1" t="s">
        <v>70</v>
      </c>
      <c r="P238" s="1">
        <v>24.91</v>
      </c>
    </row>
    <row r="239" spans="1:16" ht="13" x14ac:dyDescent="0.3">
      <c r="A239" s="1" t="s">
        <v>304</v>
      </c>
      <c r="B239" s="2">
        <v>41629</v>
      </c>
      <c r="C239" s="1">
        <v>2013</v>
      </c>
      <c r="D239" s="1" t="s">
        <v>25</v>
      </c>
      <c r="E239" s="1" t="s">
        <v>87</v>
      </c>
      <c r="F239" s="1" t="s">
        <v>38</v>
      </c>
      <c r="G239" s="1" t="s">
        <v>27</v>
      </c>
      <c r="H239" s="1">
        <v>78.67</v>
      </c>
      <c r="I239" s="1">
        <v>427.76</v>
      </c>
      <c r="J239" s="1">
        <v>5437.46</v>
      </c>
      <c r="K239" s="1" t="s">
        <v>40</v>
      </c>
      <c r="L239" s="1" t="s">
        <v>47</v>
      </c>
      <c r="M239" s="1">
        <v>165.98</v>
      </c>
      <c r="N239" s="1">
        <v>791.69</v>
      </c>
      <c r="O239" s="1" t="s">
        <v>52</v>
      </c>
      <c r="P239" s="1">
        <v>34.97</v>
      </c>
    </row>
    <row r="240" spans="1:16" ht="13" x14ac:dyDescent="0.3">
      <c r="A240" s="1" t="s">
        <v>305</v>
      </c>
      <c r="B240" s="2">
        <v>41139</v>
      </c>
      <c r="C240" s="1">
        <v>2012</v>
      </c>
      <c r="D240" s="1" t="s">
        <v>44</v>
      </c>
      <c r="E240" s="1" t="s">
        <v>45</v>
      </c>
      <c r="F240" s="1" t="s">
        <v>33</v>
      </c>
      <c r="G240" s="1" t="s">
        <v>46</v>
      </c>
      <c r="H240" s="1">
        <v>3.37</v>
      </c>
      <c r="I240" s="1">
        <v>14.32</v>
      </c>
      <c r="J240" s="1">
        <v>4249.2700000000004</v>
      </c>
      <c r="K240" s="1" t="s">
        <v>21</v>
      </c>
      <c r="L240" s="1" t="s">
        <v>22</v>
      </c>
      <c r="M240" s="1">
        <v>287.75</v>
      </c>
      <c r="N240" s="1">
        <v>201.46</v>
      </c>
      <c r="O240" s="1" t="s">
        <v>52</v>
      </c>
      <c r="P240" s="1">
        <v>32.74</v>
      </c>
    </row>
    <row r="241" spans="1:16" ht="13" x14ac:dyDescent="0.3">
      <c r="A241" s="1" t="s">
        <v>306</v>
      </c>
      <c r="B241" s="2">
        <v>41712</v>
      </c>
      <c r="C241" s="1">
        <v>2013</v>
      </c>
      <c r="D241" s="1" t="s">
        <v>103</v>
      </c>
      <c r="E241" s="1" t="s">
        <v>228</v>
      </c>
      <c r="F241" s="1" t="s">
        <v>38</v>
      </c>
      <c r="G241" s="1" t="s">
        <v>46</v>
      </c>
      <c r="H241" s="1">
        <v>96.16</v>
      </c>
      <c r="I241" s="1">
        <v>657.29</v>
      </c>
      <c r="J241" s="1">
        <v>6835.36</v>
      </c>
      <c r="K241" s="1" t="s">
        <v>40</v>
      </c>
      <c r="L241" s="1" t="s">
        <v>29</v>
      </c>
      <c r="M241" s="1">
        <v>227.91</v>
      </c>
      <c r="N241" s="1">
        <v>293.02999999999997</v>
      </c>
      <c r="O241" s="1" t="s">
        <v>42</v>
      </c>
      <c r="P241" s="1">
        <v>33.46</v>
      </c>
    </row>
    <row r="242" spans="1:16" ht="13" x14ac:dyDescent="0.3">
      <c r="A242" s="1" t="s">
        <v>307</v>
      </c>
      <c r="B242" s="2">
        <v>42834</v>
      </c>
      <c r="C242" s="1">
        <v>2017</v>
      </c>
      <c r="D242" s="1" t="s">
        <v>17</v>
      </c>
      <c r="E242" s="1" t="s">
        <v>72</v>
      </c>
      <c r="F242" s="1" t="s">
        <v>19</v>
      </c>
      <c r="G242" s="1" t="s">
        <v>64</v>
      </c>
      <c r="H242" s="1">
        <v>58.5</v>
      </c>
      <c r="I242" s="1">
        <v>235.91</v>
      </c>
      <c r="J242" s="1">
        <v>4032.57</v>
      </c>
      <c r="K242" s="1" t="s">
        <v>28</v>
      </c>
      <c r="L242" s="1" t="s">
        <v>41</v>
      </c>
      <c r="M242" s="1">
        <v>68.709999999999994</v>
      </c>
      <c r="N242" s="1">
        <v>767.82</v>
      </c>
      <c r="O242" s="1" t="s">
        <v>52</v>
      </c>
      <c r="P242" s="1">
        <v>29.94</v>
      </c>
    </row>
    <row r="243" spans="1:16" ht="13" x14ac:dyDescent="0.3">
      <c r="A243" s="1" t="s">
        <v>308</v>
      </c>
      <c r="B243" s="2">
        <v>42458</v>
      </c>
      <c r="C243" s="1">
        <v>2015</v>
      </c>
      <c r="D243" s="1" t="s">
        <v>31</v>
      </c>
      <c r="E243" s="1" t="s">
        <v>32</v>
      </c>
      <c r="F243" s="1" t="s">
        <v>38</v>
      </c>
      <c r="G243" s="1" t="s">
        <v>39</v>
      </c>
      <c r="H243" s="1">
        <v>83.36</v>
      </c>
      <c r="I243" s="1">
        <v>246.54</v>
      </c>
      <c r="J243" s="1">
        <v>2957.51</v>
      </c>
      <c r="K243" s="1" t="s">
        <v>28</v>
      </c>
      <c r="L243" s="1" t="s">
        <v>22</v>
      </c>
      <c r="M243" s="1">
        <v>117.99</v>
      </c>
      <c r="N243" s="1">
        <v>274.69</v>
      </c>
      <c r="O243" s="1" t="s">
        <v>42</v>
      </c>
      <c r="P243" s="1">
        <v>22.04</v>
      </c>
    </row>
    <row r="244" spans="1:16" ht="13" x14ac:dyDescent="0.3">
      <c r="A244" s="1" t="s">
        <v>309</v>
      </c>
      <c r="B244" s="2">
        <v>41244</v>
      </c>
      <c r="C244" s="1">
        <v>2012</v>
      </c>
      <c r="D244" s="1" t="s">
        <v>103</v>
      </c>
      <c r="E244" s="1" t="s">
        <v>104</v>
      </c>
      <c r="F244" s="1" t="s">
        <v>38</v>
      </c>
      <c r="G244" s="1" t="s">
        <v>46</v>
      </c>
      <c r="H244" s="1">
        <v>32.090000000000003</v>
      </c>
      <c r="I244" s="1">
        <v>55.34</v>
      </c>
      <c r="J244" s="1">
        <v>1724.42</v>
      </c>
      <c r="K244" s="1" t="s">
        <v>34</v>
      </c>
      <c r="L244" s="1" t="s">
        <v>22</v>
      </c>
      <c r="M244" s="1">
        <v>291.16000000000003</v>
      </c>
      <c r="N244" s="1">
        <v>407.64</v>
      </c>
      <c r="O244" s="1" t="s">
        <v>70</v>
      </c>
      <c r="P244" s="1">
        <v>26.95</v>
      </c>
    </row>
    <row r="245" spans="1:16" ht="13" x14ac:dyDescent="0.3">
      <c r="A245" s="1" t="s">
        <v>310</v>
      </c>
      <c r="B245" s="2">
        <v>41733</v>
      </c>
      <c r="C245" s="1">
        <v>2014</v>
      </c>
      <c r="D245" s="1" t="s">
        <v>103</v>
      </c>
      <c r="E245" s="1" t="s">
        <v>228</v>
      </c>
      <c r="F245" s="1" t="s">
        <v>19</v>
      </c>
      <c r="G245" s="1" t="s">
        <v>39</v>
      </c>
      <c r="H245" s="1">
        <v>60.73</v>
      </c>
      <c r="I245" s="1">
        <v>139.08000000000001</v>
      </c>
      <c r="J245" s="1">
        <v>2290.12</v>
      </c>
      <c r="K245" s="1" t="s">
        <v>34</v>
      </c>
      <c r="L245" s="1" t="s">
        <v>49</v>
      </c>
      <c r="M245" s="1">
        <v>87.08</v>
      </c>
      <c r="N245" s="1">
        <v>911.16</v>
      </c>
      <c r="O245" s="1" t="s">
        <v>70</v>
      </c>
      <c r="P245" s="1">
        <v>25.94</v>
      </c>
    </row>
    <row r="246" spans="1:16" ht="13" x14ac:dyDescent="0.3">
      <c r="A246" s="1" t="s">
        <v>311</v>
      </c>
      <c r="B246" s="2">
        <v>40498</v>
      </c>
      <c r="C246" s="1">
        <v>2010</v>
      </c>
      <c r="D246" s="1" t="s">
        <v>31</v>
      </c>
      <c r="E246" s="1" t="s">
        <v>82</v>
      </c>
      <c r="F246" s="1" t="s">
        <v>38</v>
      </c>
      <c r="G246" s="1" t="s">
        <v>46</v>
      </c>
      <c r="H246" s="1">
        <v>56.04</v>
      </c>
      <c r="I246" s="1">
        <v>241.01</v>
      </c>
      <c r="J246" s="1">
        <v>4300.7299999999996</v>
      </c>
      <c r="K246" s="1" t="s">
        <v>21</v>
      </c>
      <c r="L246" s="1" t="s">
        <v>41</v>
      </c>
      <c r="M246" s="1">
        <v>165.51</v>
      </c>
      <c r="N246" s="1">
        <v>1003.9</v>
      </c>
      <c r="O246" s="1" t="s">
        <v>42</v>
      </c>
      <c r="P246" s="1">
        <v>21.82</v>
      </c>
    </row>
    <row r="247" spans="1:16" ht="13" x14ac:dyDescent="0.3">
      <c r="A247" s="1" t="s">
        <v>312</v>
      </c>
      <c r="B247" s="2">
        <v>42788</v>
      </c>
      <c r="C247" s="1">
        <v>2016</v>
      </c>
      <c r="D247" s="1" t="s">
        <v>103</v>
      </c>
      <c r="E247" s="1" t="s">
        <v>104</v>
      </c>
      <c r="F247" s="1" t="s">
        <v>38</v>
      </c>
      <c r="G247" s="1" t="s">
        <v>39</v>
      </c>
      <c r="H247" s="1">
        <v>63.4</v>
      </c>
      <c r="I247" s="1">
        <v>308.64</v>
      </c>
      <c r="J247" s="1">
        <v>4868.1099999999997</v>
      </c>
      <c r="K247" s="1" t="s">
        <v>34</v>
      </c>
      <c r="L247" s="1" t="s">
        <v>41</v>
      </c>
      <c r="M247" s="1">
        <v>279.36</v>
      </c>
      <c r="N247" s="1">
        <v>274.99</v>
      </c>
      <c r="O247" s="1" t="s">
        <v>23</v>
      </c>
      <c r="P247" s="1">
        <v>22.97</v>
      </c>
    </row>
    <row r="248" spans="1:16" ht="13" x14ac:dyDescent="0.3">
      <c r="A248" s="1" t="s">
        <v>313</v>
      </c>
      <c r="B248" s="2">
        <v>40804</v>
      </c>
      <c r="C248" s="1">
        <v>2011</v>
      </c>
      <c r="D248" s="1" t="s">
        <v>25</v>
      </c>
      <c r="E248" s="1" t="s">
        <v>87</v>
      </c>
      <c r="F248" s="1" t="s">
        <v>33</v>
      </c>
      <c r="G248" s="1" t="s">
        <v>46</v>
      </c>
      <c r="H248" s="1">
        <v>6.01</v>
      </c>
      <c r="I248" s="1">
        <v>39.33</v>
      </c>
      <c r="J248" s="1">
        <v>6544.79</v>
      </c>
      <c r="K248" s="1" t="s">
        <v>28</v>
      </c>
      <c r="L248" s="1" t="s">
        <v>41</v>
      </c>
      <c r="M248" s="1">
        <v>255.42</v>
      </c>
      <c r="N248" s="1">
        <v>595</v>
      </c>
      <c r="O248" s="1" t="s">
        <v>23</v>
      </c>
      <c r="P248" s="1">
        <v>25.74</v>
      </c>
    </row>
    <row r="249" spans="1:16" ht="13" x14ac:dyDescent="0.3">
      <c r="A249" s="1" t="s">
        <v>314</v>
      </c>
      <c r="B249" s="2">
        <v>41236</v>
      </c>
      <c r="C249" s="1">
        <v>2012</v>
      </c>
      <c r="D249" s="1" t="s">
        <v>31</v>
      </c>
      <c r="E249" s="1" t="s">
        <v>82</v>
      </c>
      <c r="F249" s="1" t="s">
        <v>38</v>
      </c>
      <c r="G249" s="1" t="s">
        <v>20</v>
      </c>
      <c r="H249" s="1">
        <v>45.16</v>
      </c>
      <c r="I249" s="1">
        <v>85.43</v>
      </c>
      <c r="J249" s="1">
        <v>1891.79</v>
      </c>
      <c r="K249" s="1" t="s">
        <v>40</v>
      </c>
      <c r="L249" s="1" t="s">
        <v>49</v>
      </c>
      <c r="M249" s="1">
        <v>211.82</v>
      </c>
      <c r="N249" s="1">
        <v>698.89</v>
      </c>
      <c r="O249" s="1" t="s">
        <v>61</v>
      </c>
      <c r="P249" s="1">
        <v>27.19</v>
      </c>
    </row>
    <row r="250" spans="1:16" ht="13" x14ac:dyDescent="0.3">
      <c r="A250" s="1" t="s">
        <v>315</v>
      </c>
      <c r="B250" s="2">
        <v>42646</v>
      </c>
      <c r="C250" s="1">
        <v>2016</v>
      </c>
      <c r="D250" s="1" t="s">
        <v>36</v>
      </c>
      <c r="E250" s="1" t="s">
        <v>37</v>
      </c>
      <c r="F250" s="1" t="s">
        <v>33</v>
      </c>
      <c r="G250" s="1" t="s">
        <v>39</v>
      </c>
      <c r="H250" s="1">
        <v>88.58</v>
      </c>
      <c r="I250" s="1">
        <v>368.04</v>
      </c>
      <c r="J250" s="1">
        <v>4154.88</v>
      </c>
      <c r="K250" s="1" t="s">
        <v>21</v>
      </c>
      <c r="L250" s="1" t="s">
        <v>49</v>
      </c>
      <c r="M250" s="1">
        <v>297.35000000000002</v>
      </c>
      <c r="N250" s="1">
        <v>981.92</v>
      </c>
      <c r="O250" s="1" t="s">
        <v>70</v>
      </c>
      <c r="P250" s="1">
        <v>27.2</v>
      </c>
    </row>
    <row r="251" spans="1:16" ht="13" x14ac:dyDescent="0.3">
      <c r="A251" s="1" t="s">
        <v>316</v>
      </c>
      <c r="B251" s="2">
        <v>42429</v>
      </c>
      <c r="C251" s="1">
        <v>2015</v>
      </c>
      <c r="D251" s="1" t="s">
        <v>59</v>
      </c>
      <c r="E251" s="1" t="s">
        <v>93</v>
      </c>
      <c r="F251" s="1" t="s">
        <v>38</v>
      </c>
      <c r="G251" s="1" t="s">
        <v>20</v>
      </c>
      <c r="H251" s="1">
        <v>18.8</v>
      </c>
      <c r="I251" s="1">
        <v>54.77</v>
      </c>
      <c r="J251" s="1">
        <v>2913.27</v>
      </c>
      <c r="K251" s="1" t="s">
        <v>40</v>
      </c>
      <c r="L251" s="1" t="s">
        <v>47</v>
      </c>
      <c r="M251" s="1">
        <v>57.33</v>
      </c>
      <c r="N251" s="1">
        <v>1010.69</v>
      </c>
      <c r="O251" s="1" t="s">
        <v>70</v>
      </c>
      <c r="P251" s="1">
        <v>20.88</v>
      </c>
    </row>
    <row r="252" spans="1:16" ht="13" x14ac:dyDescent="0.3">
      <c r="A252" s="1" t="s">
        <v>317</v>
      </c>
      <c r="B252" s="2">
        <v>41525</v>
      </c>
      <c r="C252" s="1">
        <v>2013</v>
      </c>
      <c r="D252" s="1" t="s">
        <v>31</v>
      </c>
      <c r="E252" s="1" t="s">
        <v>117</v>
      </c>
      <c r="F252" s="1" t="s">
        <v>33</v>
      </c>
      <c r="G252" s="1" t="s">
        <v>64</v>
      </c>
      <c r="H252" s="1">
        <v>25.54</v>
      </c>
      <c r="I252" s="1">
        <v>62.49</v>
      </c>
      <c r="J252" s="1">
        <v>2446.92</v>
      </c>
      <c r="K252" s="1" t="s">
        <v>21</v>
      </c>
      <c r="L252" s="1" t="s">
        <v>49</v>
      </c>
      <c r="M252" s="1">
        <v>241.01</v>
      </c>
      <c r="N252" s="1">
        <v>1147.8</v>
      </c>
      <c r="O252" s="1" t="s">
        <v>61</v>
      </c>
      <c r="P252" s="1">
        <v>32.700000000000003</v>
      </c>
    </row>
    <row r="253" spans="1:16" ht="13" x14ac:dyDescent="0.3">
      <c r="A253" s="1" t="s">
        <v>318</v>
      </c>
      <c r="B253" s="2">
        <v>41205</v>
      </c>
      <c r="C253" s="1">
        <v>2012</v>
      </c>
      <c r="D253" s="1" t="s">
        <v>44</v>
      </c>
      <c r="E253" s="1" t="s">
        <v>45</v>
      </c>
      <c r="F253" s="1" t="s">
        <v>33</v>
      </c>
      <c r="G253" s="1" t="s">
        <v>27</v>
      </c>
      <c r="H253" s="1">
        <v>32.479999999999997</v>
      </c>
      <c r="I253" s="1">
        <v>176.32</v>
      </c>
      <c r="J253" s="1">
        <v>5428.63</v>
      </c>
      <c r="K253" s="1" t="s">
        <v>34</v>
      </c>
      <c r="L253" s="1" t="s">
        <v>41</v>
      </c>
      <c r="M253" s="1">
        <v>278.5</v>
      </c>
      <c r="N253" s="1">
        <v>228.21</v>
      </c>
      <c r="O253" s="1" t="s">
        <v>70</v>
      </c>
      <c r="P253" s="1">
        <v>34.21</v>
      </c>
    </row>
    <row r="254" spans="1:16" ht="13" x14ac:dyDescent="0.3">
      <c r="A254" s="1" t="s">
        <v>319</v>
      </c>
      <c r="B254" s="2">
        <v>44866</v>
      </c>
      <c r="C254" s="1">
        <v>2022</v>
      </c>
      <c r="D254" s="1" t="s">
        <v>59</v>
      </c>
      <c r="E254" s="1" t="s">
        <v>60</v>
      </c>
      <c r="F254" s="1" t="s">
        <v>38</v>
      </c>
      <c r="G254" s="1" t="s">
        <v>27</v>
      </c>
      <c r="H254" s="1">
        <v>31.6</v>
      </c>
      <c r="I254" s="1">
        <v>124.59</v>
      </c>
      <c r="J254" s="1">
        <v>3942.62</v>
      </c>
      <c r="K254" s="1" t="s">
        <v>21</v>
      </c>
      <c r="L254" s="1" t="s">
        <v>49</v>
      </c>
      <c r="M254" s="1">
        <v>64.040000000000006</v>
      </c>
      <c r="N254" s="1">
        <v>801.66</v>
      </c>
      <c r="O254" s="1" t="s">
        <v>23</v>
      </c>
      <c r="P254" s="1">
        <v>27.9</v>
      </c>
    </row>
    <row r="255" spans="1:16" ht="13" x14ac:dyDescent="0.3">
      <c r="A255" s="1" t="s">
        <v>320</v>
      </c>
      <c r="B255" s="2">
        <v>44847</v>
      </c>
      <c r="C255" s="1">
        <v>2022</v>
      </c>
      <c r="D255" s="1" t="s">
        <v>59</v>
      </c>
      <c r="E255" s="1" t="s">
        <v>60</v>
      </c>
      <c r="F255" s="1" t="s">
        <v>33</v>
      </c>
      <c r="G255" s="1" t="s">
        <v>20</v>
      </c>
      <c r="H255" s="1">
        <v>71.98</v>
      </c>
      <c r="I255" s="1">
        <v>468.78</v>
      </c>
      <c r="J255" s="1">
        <v>6512.68</v>
      </c>
      <c r="K255" s="1" t="s">
        <v>34</v>
      </c>
      <c r="L255" s="1" t="s">
        <v>49</v>
      </c>
      <c r="M255" s="1">
        <v>64.89</v>
      </c>
      <c r="N255" s="1">
        <v>347.71</v>
      </c>
      <c r="O255" s="1" t="s">
        <v>42</v>
      </c>
      <c r="P255" s="1">
        <v>31.62</v>
      </c>
    </row>
    <row r="256" spans="1:16" ht="13" x14ac:dyDescent="0.3">
      <c r="A256" s="1" t="s">
        <v>321</v>
      </c>
      <c r="B256" s="2">
        <v>44318</v>
      </c>
      <c r="C256" s="1">
        <v>2021</v>
      </c>
      <c r="D256" s="1" t="s">
        <v>25</v>
      </c>
      <c r="E256" s="1" t="s">
        <v>87</v>
      </c>
      <c r="F256" s="1" t="s">
        <v>19</v>
      </c>
      <c r="G256" s="1" t="s">
        <v>46</v>
      </c>
      <c r="H256" s="1">
        <v>59.02</v>
      </c>
      <c r="I256" s="1">
        <v>178.2</v>
      </c>
      <c r="J256" s="1">
        <v>3019.37</v>
      </c>
      <c r="K256" s="1" t="s">
        <v>34</v>
      </c>
      <c r="L256" s="1" t="s">
        <v>49</v>
      </c>
      <c r="M256" s="1">
        <v>84.11</v>
      </c>
      <c r="N256" s="1">
        <v>357.5</v>
      </c>
      <c r="O256" s="1" t="s">
        <v>52</v>
      </c>
      <c r="P256" s="1">
        <v>31.88</v>
      </c>
    </row>
    <row r="257" spans="1:16" ht="13" x14ac:dyDescent="0.3">
      <c r="A257" s="1" t="s">
        <v>322</v>
      </c>
      <c r="B257" s="2">
        <v>43237</v>
      </c>
      <c r="C257" s="1">
        <v>2018</v>
      </c>
      <c r="D257" s="1" t="s">
        <v>103</v>
      </c>
      <c r="E257" s="1" t="s">
        <v>228</v>
      </c>
      <c r="F257" s="1" t="s">
        <v>19</v>
      </c>
      <c r="G257" s="1" t="s">
        <v>27</v>
      </c>
      <c r="H257" s="1">
        <v>78.91</v>
      </c>
      <c r="I257" s="1">
        <v>184.6</v>
      </c>
      <c r="J257" s="1">
        <v>2339.42</v>
      </c>
      <c r="K257" s="1" t="s">
        <v>40</v>
      </c>
      <c r="L257" s="1" t="s">
        <v>22</v>
      </c>
      <c r="M257" s="1">
        <v>144.6</v>
      </c>
      <c r="N257" s="1">
        <v>933.99</v>
      </c>
      <c r="O257" s="1" t="s">
        <v>70</v>
      </c>
      <c r="P257" s="1">
        <v>21.91</v>
      </c>
    </row>
    <row r="258" spans="1:16" ht="13" x14ac:dyDescent="0.3">
      <c r="A258" s="1" t="s">
        <v>323</v>
      </c>
      <c r="B258" s="2">
        <v>42508</v>
      </c>
      <c r="C258" s="1">
        <v>2016</v>
      </c>
      <c r="D258" s="1" t="s">
        <v>17</v>
      </c>
      <c r="E258" s="1" t="s">
        <v>54</v>
      </c>
      <c r="F258" s="1" t="s">
        <v>19</v>
      </c>
      <c r="G258" s="1" t="s">
        <v>64</v>
      </c>
      <c r="H258" s="1">
        <v>19.03</v>
      </c>
      <c r="I258" s="1">
        <v>55.36</v>
      </c>
      <c r="J258" s="1">
        <v>2909.3</v>
      </c>
      <c r="K258" s="1" t="s">
        <v>40</v>
      </c>
      <c r="L258" s="1" t="s">
        <v>22</v>
      </c>
      <c r="M258" s="1">
        <v>209.91</v>
      </c>
      <c r="N258" s="1">
        <v>304.11</v>
      </c>
      <c r="O258" s="1" t="s">
        <v>52</v>
      </c>
      <c r="P258" s="1">
        <v>22.11</v>
      </c>
    </row>
    <row r="259" spans="1:16" ht="13" x14ac:dyDescent="0.3">
      <c r="A259" s="1" t="s">
        <v>324</v>
      </c>
      <c r="B259" s="2">
        <v>42245</v>
      </c>
      <c r="C259" s="1">
        <v>2015</v>
      </c>
      <c r="D259" s="1" t="s">
        <v>103</v>
      </c>
      <c r="E259" s="1" t="s">
        <v>107</v>
      </c>
      <c r="F259" s="1" t="s">
        <v>33</v>
      </c>
      <c r="G259" s="1" t="s">
        <v>39</v>
      </c>
      <c r="H259" s="1">
        <v>88.65</v>
      </c>
      <c r="I259" s="1">
        <v>135.84</v>
      </c>
      <c r="J259" s="1">
        <v>1532.36</v>
      </c>
      <c r="K259" s="1" t="s">
        <v>34</v>
      </c>
      <c r="L259" s="1" t="s">
        <v>49</v>
      </c>
      <c r="M259" s="1">
        <v>161.66</v>
      </c>
      <c r="N259" s="1">
        <v>465.21</v>
      </c>
      <c r="O259" s="1" t="s">
        <v>42</v>
      </c>
      <c r="P259" s="1">
        <v>30.4</v>
      </c>
    </row>
    <row r="260" spans="1:16" ht="13" x14ac:dyDescent="0.3">
      <c r="A260" s="1" t="s">
        <v>325</v>
      </c>
      <c r="B260" s="2">
        <v>44444</v>
      </c>
      <c r="C260" s="1">
        <v>2021</v>
      </c>
      <c r="D260" s="1" t="s">
        <v>44</v>
      </c>
      <c r="E260" s="1" t="s">
        <v>45</v>
      </c>
      <c r="F260" s="1" t="s">
        <v>33</v>
      </c>
      <c r="G260" s="1" t="s">
        <v>64</v>
      </c>
      <c r="H260" s="1">
        <v>39.21</v>
      </c>
      <c r="I260" s="1">
        <v>211.56</v>
      </c>
      <c r="J260" s="1">
        <v>5395.51</v>
      </c>
      <c r="K260" s="1" t="s">
        <v>40</v>
      </c>
      <c r="L260" s="1" t="s">
        <v>22</v>
      </c>
      <c r="M260" s="1">
        <v>271.14</v>
      </c>
      <c r="N260" s="1">
        <v>693.08</v>
      </c>
      <c r="O260" s="1" t="s">
        <v>52</v>
      </c>
      <c r="P260" s="1">
        <v>25.27</v>
      </c>
    </row>
    <row r="261" spans="1:16" ht="13" x14ac:dyDescent="0.3">
      <c r="A261" s="1" t="s">
        <v>326</v>
      </c>
      <c r="B261" s="2">
        <v>44668</v>
      </c>
      <c r="C261" s="1">
        <v>2022</v>
      </c>
      <c r="D261" s="1" t="s">
        <v>44</v>
      </c>
      <c r="E261" s="1" t="s">
        <v>99</v>
      </c>
      <c r="F261" s="1" t="s">
        <v>19</v>
      </c>
      <c r="G261" s="1" t="s">
        <v>39</v>
      </c>
      <c r="H261" s="1">
        <v>76.069999999999993</v>
      </c>
      <c r="I261" s="1">
        <v>179.03</v>
      </c>
      <c r="J261" s="1">
        <v>2353.5</v>
      </c>
      <c r="K261" s="1" t="s">
        <v>28</v>
      </c>
      <c r="L261" s="1" t="s">
        <v>22</v>
      </c>
      <c r="M261" s="1">
        <v>68.430000000000007</v>
      </c>
      <c r="N261" s="1">
        <v>1045.76</v>
      </c>
      <c r="O261" s="1" t="s">
        <v>70</v>
      </c>
      <c r="P261" s="1">
        <v>20.3</v>
      </c>
    </row>
    <row r="262" spans="1:16" ht="13" x14ac:dyDescent="0.3">
      <c r="A262" s="1" t="s">
        <v>327</v>
      </c>
      <c r="B262" s="2">
        <v>41324</v>
      </c>
      <c r="C262" s="1">
        <v>2012</v>
      </c>
      <c r="D262" s="1" t="s">
        <v>25</v>
      </c>
      <c r="E262" s="1" t="s">
        <v>87</v>
      </c>
      <c r="F262" s="1" t="s">
        <v>38</v>
      </c>
      <c r="G262" s="1" t="s">
        <v>56</v>
      </c>
      <c r="H262" s="1">
        <v>73.47</v>
      </c>
      <c r="I262" s="1">
        <v>314.62</v>
      </c>
      <c r="J262" s="1">
        <v>4282.28</v>
      </c>
      <c r="K262" s="1" t="s">
        <v>21</v>
      </c>
      <c r="L262" s="1" t="s">
        <v>41</v>
      </c>
      <c r="M262" s="1">
        <v>134.49</v>
      </c>
      <c r="N262" s="1">
        <v>1185.28</v>
      </c>
      <c r="O262" s="1" t="s">
        <v>52</v>
      </c>
      <c r="P262" s="1">
        <v>30.57</v>
      </c>
    </row>
    <row r="263" spans="1:16" ht="13" x14ac:dyDescent="0.3">
      <c r="A263" s="1" t="s">
        <v>328</v>
      </c>
      <c r="B263" s="2">
        <v>41133</v>
      </c>
      <c r="C263" s="1">
        <v>2012</v>
      </c>
      <c r="D263" s="1" t="s">
        <v>59</v>
      </c>
      <c r="E263" s="1" t="s">
        <v>63</v>
      </c>
      <c r="F263" s="1" t="s">
        <v>33</v>
      </c>
      <c r="G263" s="1" t="s">
        <v>64</v>
      </c>
      <c r="H263" s="1">
        <v>33.78</v>
      </c>
      <c r="I263" s="1">
        <v>231.27</v>
      </c>
      <c r="J263" s="1">
        <v>6846.39</v>
      </c>
      <c r="K263" s="1" t="s">
        <v>28</v>
      </c>
      <c r="L263" s="1" t="s">
        <v>49</v>
      </c>
      <c r="M263" s="1">
        <v>224.3</v>
      </c>
      <c r="N263" s="1">
        <v>922.04</v>
      </c>
      <c r="O263" s="1" t="s">
        <v>61</v>
      </c>
      <c r="P263" s="1">
        <v>23.98</v>
      </c>
    </row>
    <row r="264" spans="1:16" ht="13" x14ac:dyDescent="0.3">
      <c r="A264" s="1" t="s">
        <v>329</v>
      </c>
      <c r="B264" s="2">
        <v>40605</v>
      </c>
      <c r="C264" s="1">
        <v>2010</v>
      </c>
      <c r="D264" s="1" t="s">
        <v>103</v>
      </c>
      <c r="E264" s="1" t="s">
        <v>104</v>
      </c>
      <c r="F264" s="1" t="s">
        <v>38</v>
      </c>
      <c r="G264" s="1" t="s">
        <v>27</v>
      </c>
      <c r="H264" s="1">
        <v>55.42</v>
      </c>
      <c r="I264" s="1">
        <v>218.67</v>
      </c>
      <c r="J264" s="1">
        <v>3945.69</v>
      </c>
      <c r="K264" s="1" t="s">
        <v>21</v>
      </c>
      <c r="L264" s="1" t="s">
        <v>41</v>
      </c>
      <c r="M264" s="1">
        <v>140.21</v>
      </c>
      <c r="N264" s="1">
        <v>627.61</v>
      </c>
      <c r="O264" s="1" t="s">
        <v>70</v>
      </c>
      <c r="P264" s="1">
        <v>32.36</v>
      </c>
    </row>
    <row r="265" spans="1:16" ht="13" x14ac:dyDescent="0.3">
      <c r="A265" s="1" t="s">
        <v>330</v>
      </c>
      <c r="B265" s="2">
        <v>41493</v>
      </c>
      <c r="C265" s="1">
        <v>2013</v>
      </c>
      <c r="D265" s="1" t="s">
        <v>25</v>
      </c>
      <c r="E265" s="1" t="s">
        <v>26</v>
      </c>
      <c r="F265" s="1" t="s">
        <v>33</v>
      </c>
      <c r="G265" s="1" t="s">
        <v>39</v>
      </c>
      <c r="H265" s="1">
        <v>29.89</v>
      </c>
      <c r="I265" s="1">
        <v>44.58</v>
      </c>
      <c r="J265" s="1">
        <v>1491.62</v>
      </c>
      <c r="K265" s="1" t="s">
        <v>21</v>
      </c>
      <c r="L265" s="1" t="s">
        <v>22</v>
      </c>
      <c r="M265" s="1">
        <v>127.09</v>
      </c>
      <c r="N265" s="1">
        <v>597.47</v>
      </c>
      <c r="O265" s="1" t="s">
        <v>52</v>
      </c>
      <c r="P265" s="1">
        <v>33.42</v>
      </c>
    </row>
    <row r="266" spans="1:16" ht="13" x14ac:dyDescent="0.3">
      <c r="A266" s="1" t="s">
        <v>331</v>
      </c>
      <c r="B266" s="2">
        <v>42590</v>
      </c>
      <c r="C266" s="1">
        <v>2016</v>
      </c>
      <c r="D266" s="1" t="s">
        <v>17</v>
      </c>
      <c r="E266" s="1" t="s">
        <v>54</v>
      </c>
      <c r="F266" s="1" t="s">
        <v>33</v>
      </c>
      <c r="G266" s="1" t="s">
        <v>20</v>
      </c>
      <c r="H266" s="1">
        <v>88.66</v>
      </c>
      <c r="I266" s="1">
        <v>285.17</v>
      </c>
      <c r="J266" s="1">
        <v>3216.41</v>
      </c>
      <c r="K266" s="1" t="s">
        <v>28</v>
      </c>
      <c r="L266" s="1" t="s">
        <v>47</v>
      </c>
      <c r="M266" s="1">
        <v>61.15</v>
      </c>
      <c r="N266" s="1">
        <v>639.74</v>
      </c>
      <c r="O266" s="1" t="s">
        <v>70</v>
      </c>
      <c r="P266" s="1">
        <v>23.39</v>
      </c>
    </row>
    <row r="267" spans="1:16" ht="13" x14ac:dyDescent="0.3">
      <c r="A267" s="1" t="s">
        <v>332</v>
      </c>
      <c r="B267" s="2">
        <v>44676</v>
      </c>
      <c r="C267" s="1">
        <v>2022</v>
      </c>
      <c r="D267" s="1" t="s">
        <v>25</v>
      </c>
      <c r="E267" s="1" t="s">
        <v>26</v>
      </c>
      <c r="F267" s="1" t="s">
        <v>19</v>
      </c>
      <c r="G267" s="1" t="s">
        <v>39</v>
      </c>
      <c r="H267" s="1">
        <v>10.57</v>
      </c>
      <c r="I267" s="1">
        <v>52.94</v>
      </c>
      <c r="J267" s="1">
        <v>5008.8500000000004</v>
      </c>
      <c r="K267" s="1" t="s">
        <v>28</v>
      </c>
      <c r="L267" s="1" t="s">
        <v>47</v>
      </c>
      <c r="M267" s="1">
        <v>292.68</v>
      </c>
      <c r="N267" s="1">
        <v>789.73</v>
      </c>
      <c r="O267" s="1" t="s">
        <v>61</v>
      </c>
      <c r="P267" s="1">
        <v>20.91</v>
      </c>
    </row>
    <row r="268" spans="1:16" ht="13" x14ac:dyDescent="0.3">
      <c r="A268" s="1" t="s">
        <v>333</v>
      </c>
      <c r="B268" s="2">
        <v>44268</v>
      </c>
      <c r="C268" s="1">
        <v>2020</v>
      </c>
      <c r="D268" s="1" t="s">
        <v>36</v>
      </c>
      <c r="E268" s="1" t="s">
        <v>77</v>
      </c>
      <c r="F268" s="1" t="s">
        <v>38</v>
      </c>
      <c r="G268" s="1" t="s">
        <v>27</v>
      </c>
      <c r="H268" s="1">
        <v>88.28</v>
      </c>
      <c r="I268" s="1">
        <v>340.55</v>
      </c>
      <c r="J268" s="1">
        <v>3857.57</v>
      </c>
      <c r="K268" s="1" t="s">
        <v>21</v>
      </c>
      <c r="L268" s="1" t="s">
        <v>47</v>
      </c>
      <c r="M268" s="1">
        <v>148.69999999999999</v>
      </c>
      <c r="N268" s="1">
        <v>1053.94</v>
      </c>
      <c r="O268" s="1" t="s">
        <v>23</v>
      </c>
      <c r="P268" s="1">
        <v>27.53</v>
      </c>
    </row>
    <row r="269" spans="1:16" ht="13" x14ac:dyDescent="0.3">
      <c r="A269" s="1" t="s">
        <v>334</v>
      </c>
      <c r="B269" s="2">
        <v>41172</v>
      </c>
      <c r="C269" s="1">
        <v>2012</v>
      </c>
      <c r="D269" s="1" t="s">
        <v>17</v>
      </c>
      <c r="E269" s="1" t="s">
        <v>54</v>
      </c>
      <c r="F269" s="1" t="s">
        <v>33</v>
      </c>
      <c r="G269" s="1" t="s">
        <v>46</v>
      </c>
      <c r="H269" s="1">
        <v>18.12</v>
      </c>
      <c r="I269" s="1">
        <v>125.14</v>
      </c>
      <c r="J269" s="1">
        <v>6906.21</v>
      </c>
      <c r="K269" s="1" t="s">
        <v>40</v>
      </c>
      <c r="L269" s="1" t="s">
        <v>41</v>
      </c>
      <c r="M269" s="1">
        <v>252.12</v>
      </c>
      <c r="N269" s="1">
        <v>326.19</v>
      </c>
      <c r="O269" s="1" t="s">
        <v>52</v>
      </c>
      <c r="P269" s="1">
        <v>21.18</v>
      </c>
    </row>
    <row r="270" spans="1:16" ht="13" x14ac:dyDescent="0.3">
      <c r="A270" s="1" t="s">
        <v>335</v>
      </c>
      <c r="B270" s="2">
        <v>41017</v>
      </c>
      <c r="C270" s="1">
        <v>2012</v>
      </c>
      <c r="D270" s="1" t="s">
        <v>44</v>
      </c>
      <c r="E270" s="1" t="s">
        <v>67</v>
      </c>
      <c r="F270" s="1" t="s">
        <v>19</v>
      </c>
      <c r="G270" s="1" t="s">
        <v>20</v>
      </c>
      <c r="H270" s="1">
        <v>32.659999999999997</v>
      </c>
      <c r="I270" s="1">
        <v>175.14</v>
      </c>
      <c r="J270" s="1">
        <v>5362.62</v>
      </c>
      <c r="K270" s="1" t="s">
        <v>21</v>
      </c>
      <c r="L270" s="1" t="s">
        <v>47</v>
      </c>
      <c r="M270" s="1">
        <v>71.760000000000005</v>
      </c>
      <c r="N270" s="1">
        <v>756.36</v>
      </c>
      <c r="O270" s="1" t="s">
        <v>61</v>
      </c>
      <c r="P270" s="1">
        <v>24.89</v>
      </c>
    </row>
    <row r="271" spans="1:16" ht="13" x14ac:dyDescent="0.3">
      <c r="A271" s="1" t="s">
        <v>336</v>
      </c>
      <c r="B271" s="2">
        <v>44712</v>
      </c>
      <c r="C271" s="1">
        <v>2022</v>
      </c>
      <c r="D271" s="1" t="s">
        <v>36</v>
      </c>
      <c r="E271" s="1" t="s">
        <v>37</v>
      </c>
      <c r="F271" s="1" t="s">
        <v>19</v>
      </c>
      <c r="G271" s="1" t="s">
        <v>27</v>
      </c>
      <c r="H271" s="1">
        <v>59.17</v>
      </c>
      <c r="I271" s="1">
        <v>336.68</v>
      </c>
      <c r="J271" s="1">
        <v>5690.11</v>
      </c>
      <c r="K271" s="1" t="s">
        <v>21</v>
      </c>
      <c r="L271" s="1" t="s">
        <v>22</v>
      </c>
      <c r="M271" s="1">
        <v>153.61000000000001</v>
      </c>
      <c r="N271" s="1">
        <v>348.2</v>
      </c>
      <c r="O271" s="1" t="s">
        <v>61</v>
      </c>
      <c r="P271" s="1">
        <v>28.74</v>
      </c>
    </row>
    <row r="272" spans="1:16" ht="13" x14ac:dyDescent="0.3">
      <c r="A272" s="1" t="s">
        <v>337</v>
      </c>
      <c r="B272" s="2">
        <v>44722</v>
      </c>
      <c r="C272" s="1">
        <v>2022</v>
      </c>
      <c r="D272" s="1" t="s">
        <v>25</v>
      </c>
      <c r="E272" s="1" t="s">
        <v>69</v>
      </c>
      <c r="F272" s="1" t="s">
        <v>33</v>
      </c>
      <c r="G272" s="1" t="s">
        <v>20</v>
      </c>
      <c r="H272" s="1">
        <v>86.88</v>
      </c>
      <c r="I272" s="1">
        <v>545.67999999999995</v>
      </c>
      <c r="J272" s="1">
        <v>6280.81</v>
      </c>
      <c r="K272" s="1" t="s">
        <v>28</v>
      </c>
      <c r="L272" s="1" t="s">
        <v>41</v>
      </c>
      <c r="M272" s="1">
        <v>116.03</v>
      </c>
      <c r="N272" s="1">
        <v>854.79</v>
      </c>
      <c r="O272" s="1" t="s">
        <v>61</v>
      </c>
      <c r="P272" s="1">
        <v>29.13</v>
      </c>
    </row>
    <row r="273" spans="1:16" ht="13" x14ac:dyDescent="0.3">
      <c r="A273" s="1" t="s">
        <v>338</v>
      </c>
      <c r="B273" s="2">
        <v>41030</v>
      </c>
      <c r="C273" s="1">
        <v>2012</v>
      </c>
      <c r="D273" s="1" t="s">
        <v>31</v>
      </c>
      <c r="E273" s="1" t="s">
        <v>32</v>
      </c>
      <c r="F273" s="1" t="s">
        <v>19</v>
      </c>
      <c r="G273" s="1" t="s">
        <v>27</v>
      </c>
      <c r="H273" s="1">
        <v>68.400000000000006</v>
      </c>
      <c r="I273" s="1">
        <v>233.27</v>
      </c>
      <c r="J273" s="1">
        <v>3410.32</v>
      </c>
      <c r="K273" s="1" t="s">
        <v>28</v>
      </c>
      <c r="L273" s="1" t="s">
        <v>49</v>
      </c>
      <c r="M273" s="1">
        <v>272.39</v>
      </c>
      <c r="N273" s="1">
        <v>531.49</v>
      </c>
      <c r="O273" s="1" t="s">
        <v>42</v>
      </c>
      <c r="P273" s="1">
        <v>20.74</v>
      </c>
    </row>
    <row r="274" spans="1:16" ht="13" x14ac:dyDescent="0.3">
      <c r="A274" s="1" t="s">
        <v>339</v>
      </c>
      <c r="B274" s="2">
        <v>42422</v>
      </c>
      <c r="C274" s="1">
        <v>2015</v>
      </c>
      <c r="D274" s="1" t="s">
        <v>31</v>
      </c>
      <c r="E274" s="1" t="s">
        <v>82</v>
      </c>
      <c r="F274" s="1" t="s">
        <v>38</v>
      </c>
      <c r="G274" s="1" t="s">
        <v>20</v>
      </c>
      <c r="H274" s="1">
        <v>28.75</v>
      </c>
      <c r="I274" s="1">
        <v>113.55</v>
      </c>
      <c r="J274" s="1">
        <v>3949.72</v>
      </c>
      <c r="K274" s="1" t="s">
        <v>21</v>
      </c>
      <c r="L274" s="1" t="s">
        <v>49</v>
      </c>
      <c r="M274" s="1">
        <v>293.12</v>
      </c>
      <c r="N274" s="1">
        <v>427.96</v>
      </c>
      <c r="O274" s="1" t="s">
        <v>70</v>
      </c>
      <c r="P274" s="1">
        <v>34.61</v>
      </c>
    </row>
    <row r="275" spans="1:16" ht="13" x14ac:dyDescent="0.3">
      <c r="A275" s="1" t="s">
        <v>340</v>
      </c>
      <c r="B275" s="2">
        <v>42493</v>
      </c>
      <c r="C275" s="1">
        <v>2016</v>
      </c>
      <c r="D275" s="1" t="s">
        <v>31</v>
      </c>
      <c r="E275" s="1" t="s">
        <v>117</v>
      </c>
      <c r="F275" s="1" t="s">
        <v>19</v>
      </c>
      <c r="G275" s="1" t="s">
        <v>39</v>
      </c>
      <c r="H275" s="1">
        <v>9.84</v>
      </c>
      <c r="I275" s="1">
        <v>35.92</v>
      </c>
      <c r="J275" s="1">
        <v>3650.3</v>
      </c>
      <c r="K275" s="1" t="s">
        <v>28</v>
      </c>
      <c r="L275" s="1" t="s">
        <v>41</v>
      </c>
      <c r="M275" s="1">
        <v>235.24</v>
      </c>
      <c r="N275" s="1">
        <v>959.49</v>
      </c>
      <c r="O275" s="1" t="s">
        <v>70</v>
      </c>
      <c r="P275" s="1">
        <v>32.32</v>
      </c>
    </row>
    <row r="276" spans="1:16" ht="13" x14ac:dyDescent="0.3">
      <c r="A276" s="1" t="s">
        <v>341</v>
      </c>
      <c r="B276" s="2">
        <v>44302</v>
      </c>
      <c r="C276" s="1">
        <v>2021</v>
      </c>
      <c r="D276" s="1" t="s">
        <v>25</v>
      </c>
      <c r="E276" s="1" t="s">
        <v>87</v>
      </c>
      <c r="F276" s="1" t="s">
        <v>19</v>
      </c>
      <c r="G276" s="1" t="s">
        <v>46</v>
      </c>
      <c r="H276" s="1">
        <v>14.43</v>
      </c>
      <c r="I276" s="1">
        <v>88.14</v>
      </c>
      <c r="J276" s="1">
        <v>6107.77</v>
      </c>
      <c r="K276" s="1" t="s">
        <v>21</v>
      </c>
      <c r="L276" s="1" t="s">
        <v>22</v>
      </c>
      <c r="M276" s="1">
        <v>93.43</v>
      </c>
      <c r="N276" s="1">
        <v>1075.18</v>
      </c>
      <c r="O276" s="1" t="s">
        <v>42</v>
      </c>
      <c r="P276" s="1">
        <v>32.549999999999997</v>
      </c>
    </row>
    <row r="277" spans="1:16" ht="13" x14ac:dyDescent="0.3">
      <c r="A277" s="1" t="s">
        <v>342</v>
      </c>
      <c r="B277" s="2">
        <v>42126</v>
      </c>
      <c r="C277" s="1">
        <v>2015</v>
      </c>
      <c r="D277" s="1" t="s">
        <v>36</v>
      </c>
      <c r="E277" s="1" t="s">
        <v>37</v>
      </c>
      <c r="F277" s="1" t="s">
        <v>19</v>
      </c>
      <c r="G277" s="1" t="s">
        <v>56</v>
      </c>
      <c r="H277" s="1">
        <v>28.12</v>
      </c>
      <c r="I277" s="1">
        <v>167.06</v>
      </c>
      <c r="J277" s="1">
        <v>5941.04</v>
      </c>
      <c r="K277" s="1" t="s">
        <v>28</v>
      </c>
      <c r="L277" s="1" t="s">
        <v>47</v>
      </c>
      <c r="M277" s="1">
        <v>208.85</v>
      </c>
      <c r="N277" s="1">
        <v>323.87</v>
      </c>
      <c r="O277" s="1" t="s">
        <v>23</v>
      </c>
      <c r="P277" s="1">
        <v>23.63</v>
      </c>
    </row>
    <row r="278" spans="1:16" ht="13" x14ac:dyDescent="0.3">
      <c r="A278" s="1" t="s">
        <v>343</v>
      </c>
      <c r="B278" s="2">
        <v>42829</v>
      </c>
      <c r="C278" s="1">
        <v>2017</v>
      </c>
      <c r="D278" s="1" t="s">
        <v>36</v>
      </c>
      <c r="E278" s="1" t="s">
        <v>37</v>
      </c>
      <c r="F278" s="1" t="s">
        <v>19</v>
      </c>
      <c r="G278" s="1" t="s">
        <v>27</v>
      </c>
      <c r="H278" s="1">
        <v>35.630000000000003</v>
      </c>
      <c r="I278" s="1">
        <v>70.59</v>
      </c>
      <c r="J278" s="1">
        <v>1981.08</v>
      </c>
      <c r="K278" s="1" t="s">
        <v>34</v>
      </c>
      <c r="L278" s="1" t="s">
        <v>41</v>
      </c>
      <c r="M278" s="1">
        <v>237.24</v>
      </c>
      <c r="N278" s="1">
        <v>888.85</v>
      </c>
      <c r="O278" s="1" t="s">
        <v>70</v>
      </c>
      <c r="P278" s="1">
        <v>20.41</v>
      </c>
    </row>
    <row r="279" spans="1:16" ht="13" x14ac:dyDescent="0.3">
      <c r="A279" s="1" t="s">
        <v>344</v>
      </c>
      <c r="B279" s="2">
        <v>44746</v>
      </c>
      <c r="C279" s="1">
        <v>2022</v>
      </c>
      <c r="D279" s="1" t="s">
        <v>44</v>
      </c>
      <c r="E279" s="1" t="s">
        <v>67</v>
      </c>
      <c r="F279" s="1" t="s">
        <v>33</v>
      </c>
      <c r="G279" s="1" t="s">
        <v>56</v>
      </c>
      <c r="H279" s="1">
        <v>65.09</v>
      </c>
      <c r="I279" s="1">
        <v>329.76</v>
      </c>
      <c r="J279" s="1">
        <v>5066.17</v>
      </c>
      <c r="K279" s="1" t="s">
        <v>34</v>
      </c>
      <c r="L279" s="1" t="s">
        <v>41</v>
      </c>
      <c r="M279" s="1">
        <v>212.9</v>
      </c>
      <c r="N279" s="1">
        <v>713.28</v>
      </c>
      <c r="O279" s="1" t="s">
        <v>23</v>
      </c>
      <c r="P279" s="1">
        <v>27.11</v>
      </c>
    </row>
    <row r="280" spans="1:16" ht="13" x14ac:dyDescent="0.3">
      <c r="A280" s="1" t="s">
        <v>345</v>
      </c>
      <c r="B280" s="2">
        <v>41634</v>
      </c>
      <c r="C280" s="1">
        <v>2013</v>
      </c>
      <c r="D280" s="1" t="s">
        <v>59</v>
      </c>
      <c r="E280" s="1" t="s">
        <v>60</v>
      </c>
      <c r="F280" s="1" t="s">
        <v>38</v>
      </c>
      <c r="G280" s="1" t="s">
        <v>27</v>
      </c>
      <c r="H280" s="1">
        <v>80.7</v>
      </c>
      <c r="I280" s="1">
        <v>228.6</v>
      </c>
      <c r="J280" s="1">
        <v>2832.76</v>
      </c>
      <c r="K280" s="1" t="s">
        <v>34</v>
      </c>
      <c r="L280" s="1" t="s">
        <v>29</v>
      </c>
      <c r="M280" s="1">
        <v>155.94999999999999</v>
      </c>
      <c r="N280" s="1">
        <v>576.48</v>
      </c>
      <c r="O280" s="1" t="s">
        <v>70</v>
      </c>
      <c r="P280" s="1">
        <v>26.88</v>
      </c>
    </row>
    <row r="281" spans="1:16" ht="13" x14ac:dyDescent="0.3">
      <c r="A281" s="1" t="s">
        <v>346</v>
      </c>
      <c r="B281" s="2">
        <v>43197</v>
      </c>
      <c r="C281" s="1">
        <v>2018</v>
      </c>
      <c r="D281" s="1" t="s">
        <v>31</v>
      </c>
      <c r="E281" s="1" t="s">
        <v>117</v>
      </c>
      <c r="F281" s="1" t="s">
        <v>19</v>
      </c>
      <c r="G281" s="1" t="s">
        <v>46</v>
      </c>
      <c r="H281" s="1">
        <v>58.86</v>
      </c>
      <c r="I281" s="1">
        <v>61.46</v>
      </c>
      <c r="J281" s="1">
        <v>1044.0899999999999</v>
      </c>
      <c r="K281" s="1" t="s">
        <v>34</v>
      </c>
      <c r="L281" s="1" t="s">
        <v>29</v>
      </c>
      <c r="M281" s="1">
        <v>190.36</v>
      </c>
      <c r="N281" s="1">
        <v>793.77</v>
      </c>
      <c r="O281" s="1" t="s">
        <v>70</v>
      </c>
      <c r="P281" s="1">
        <v>24.48</v>
      </c>
    </row>
    <row r="282" spans="1:16" ht="13" x14ac:dyDescent="0.3">
      <c r="A282" s="1" t="s">
        <v>347</v>
      </c>
      <c r="B282" s="2">
        <v>41781</v>
      </c>
      <c r="C282" s="1">
        <v>2014</v>
      </c>
      <c r="D282" s="1" t="s">
        <v>25</v>
      </c>
      <c r="E282" s="1" t="s">
        <v>87</v>
      </c>
      <c r="F282" s="1" t="s">
        <v>19</v>
      </c>
      <c r="G282" s="1" t="s">
        <v>20</v>
      </c>
      <c r="H282" s="1">
        <v>86.29</v>
      </c>
      <c r="I282" s="1">
        <v>221.5</v>
      </c>
      <c r="J282" s="1">
        <v>2566.88</v>
      </c>
      <c r="K282" s="1" t="s">
        <v>34</v>
      </c>
      <c r="L282" s="1" t="s">
        <v>47</v>
      </c>
      <c r="M282" s="1">
        <v>97.09</v>
      </c>
      <c r="N282" s="1">
        <v>717.29</v>
      </c>
      <c r="O282" s="1" t="s">
        <v>42</v>
      </c>
      <c r="P282" s="1">
        <v>33.5</v>
      </c>
    </row>
    <row r="283" spans="1:16" ht="13" x14ac:dyDescent="0.3">
      <c r="A283" s="1" t="s">
        <v>348</v>
      </c>
      <c r="B283" s="2">
        <v>42132</v>
      </c>
      <c r="C283" s="1">
        <v>2015</v>
      </c>
      <c r="D283" s="1" t="s">
        <v>36</v>
      </c>
      <c r="E283" s="1" t="s">
        <v>77</v>
      </c>
      <c r="F283" s="1" t="s">
        <v>19</v>
      </c>
      <c r="G283" s="1" t="s">
        <v>56</v>
      </c>
      <c r="H283" s="1">
        <v>72.41</v>
      </c>
      <c r="I283" s="1">
        <v>357.16</v>
      </c>
      <c r="J283" s="1">
        <v>4932.3999999999996</v>
      </c>
      <c r="K283" s="1" t="s">
        <v>34</v>
      </c>
      <c r="L283" s="1" t="s">
        <v>47</v>
      </c>
      <c r="M283" s="1">
        <v>114.86</v>
      </c>
      <c r="N283" s="1">
        <v>618.57000000000005</v>
      </c>
      <c r="O283" s="1" t="s">
        <v>52</v>
      </c>
      <c r="P283" s="1">
        <v>31.05</v>
      </c>
    </row>
    <row r="284" spans="1:16" ht="13" x14ac:dyDescent="0.3">
      <c r="A284" s="1" t="s">
        <v>349</v>
      </c>
      <c r="B284" s="2">
        <v>42105</v>
      </c>
      <c r="C284" s="1">
        <v>2015</v>
      </c>
      <c r="D284" s="1" t="s">
        <v>44</v>
      </c>
      <c r="E284" s="1" t="s">
        <v>45</v>
      </c>
      <c r="F284" s="1" t="s">
        <v>19</v>
      </c>
      <c r="G284" s="1" t="s">
        <v>39</v>
      </c>
      <c r="H284" s="1">
        <v>23.01</v>
      </c>
      <c r="I284" s="1">
        <v>96.82</v>
      </c>
      <c r="J284" s="1">
        <v>4207.8100000000004</v>
      </c>
      <c r="K284" s="1" t="s">
        <v>28</v>
      </c>
      <c r="L284" s="1" t="s">
        <v>47</v>
      </c>
      <c r="M284" s="1">
        <v>276.63</v>
      </c>
      <c r="N284" s="1">
        <v>871.87</v>
      </c>
      <c r="O284" s="1" t="s">
        <v>61</v>
      </c>
      <c r="P284" s="1">
        <v>24.5</v>
      </c>
    </row>
    <row r="285" spans="1:16" ht="13" x14ac:dyDescent="0.3">
      <c r="A285" s="1" t="s">
        <v>350</v>
      </c>
      <c r="B285" s="2">
        <v>40905</v>
      </c>
      <c r="C285" s="1">
        <v>2011</v>
      </c>
      <c r="D285" s="1" t="s">
        <v>103</v>
      </c>
      <c r="E285" s="1" t="s">
        <v>107</v>
      </c>
      <c r="F285" s="1" t="s">
        <v>38</v>
      </c>
      <c r="G285" s="1" t="s">
        <v>56</v>
      </c>
      <c r="H285" s="1">
        <v>74.349999999999994</v>
      </c>
      <c r="I285" s="1">
        <v>397.86</v>
      </c>
      <c r="J285" s="1">
        <v>5351.12</v>
      </c>
      <c r="K285" s="1" t="s">
        <v>40</v>
      </c>
      <c r="L285" s="1" t="s">
        <v>49</v>
      </c>
      <c r="M285" s="1">
        <v>286.73</v>
      </c>
      <c r="N285" s="1">
        <v>1099.5899999999999</v>
      </c>
      <c r="O285" s="1" t="s">
        <v>23</v>
      </c>
      <c r="P285" s="1">
        <v>23.33</v>
      </c>
    </row>
    <row r="286" spans="1:16" ht="13" x14ac:dyDescent="0.3">
      <c r="A286" s="1" t="s">
        <v>351</v>
      </c>
      <c r="B286" s="2">
        <v>42327</v>
      </c>
      <c r="C286" s="1">
        <v>2015</v>
      </c>
      <c r="D286" s="1" t="s">
        <v>36</v>
      </c>
      <c r="E286" s="1" t="s">
        <v>51</v>
      </c>
      <c r="F286" s="1" t="s">
        <v>38</v>
      </c>
      <c r="G286" s="1" t="s">
        <v>27</v>
      </c>
      <c r="H286" s="1">
        <v>30.11</v>
      </c>
      <c r="I286" s="1">
        <v>183.89</v>
      </c>
      <c r="J286" s="1">
        <v>6107.28</v>
      </c>
      <c r="K286" s="1" t="s">
        <v>28</v>
      </c>
      <c r="L286" s="1" t="s">
        <v>29</v>
      </c>
      <c r="M286" s="1">
        <v>63.42</v>
      </c>
      <c r="N286" s="1">
        <v>834.4</v>
      </c>
      <c r="O286" s="1" t="s">
        <v>61</v>
      </c>
      <c r="P286" s="1">
        <v>34.159999999999997</v>
      </c>
    </row>
    <row r="287" spans="1:16" ht="13" x14ac:dyDescent="0.3">
      <c r="A287" s="1" t="s">
        <v>352</v>
      </c>
      <c r="B287" s="2">
        <v>40691</v>
      </c>
      <c r="C287" s="1">
        <v>2011</v>
      </c>
      <c r="D287" s="1" t="s">
        <v>103</v>
      </c>
      <c r="E287" s="1" t="s">
        <v>228</v>
      </c>
      <c r="F287" s="1" t="s">
        <v>19</v>
      </c>
      <c r="G287" s="1" t="s">
        <v>46</v>
      </c>
      <c r="H287" s="1">
        <v>53.45</v>
      </c>
      <c r="I287" s="1">
        <v>185.93</v>
      </c>
      <c r="J287" s="1">
        <v>3478.64</v>
      </c>
      <c r="K287" s="1" t="s">
        <v>40</v>
      </c>
      <c r="L287" s="1" t="s">
        <v>29</v>
      </c>
      <c r="M287" s="1">
        <v>84.34</v>
      </c>
      <c r="N287" s="1">
        <v>400.3</v>
      </c>
      <c r="O287" s="1" t="s">
        <v>52</v>
      </c>
      <c r="P287" s="1">
        <v>34.81</v>
      </c>
    </row>
    <row r="288" spans="1:16" ht="13" x14ac:dyDescent="0.3">
      <c r="A288" s="1" t="s">
        <v>353</v>
      </c>
      <c r="B288" s="2">
        <v>44391</v>
      </c>
      <c r="C288" s="1">
        <v>2021</v>
      </c>
      <c r="D288" s="1" t="s">
        <v>103</v>
      </c>
      <c r="E288" s="1" t="s">
        <v>107</v>
      </c>
      <c r="F288" s="1" t="s">
        <v>33</v>
      </c>
      <c r="G288" s="1" t="s">
        <v>64</v>
      </c>
      <c r="H288" s="1">
        <v>49.27</v>
      </c>
      <c r="I288" s="1">
        <v>235.82</v>
      </c>
      <c r="J288" s="1">
        <v>4786.2</v>
      </c>
      <c r="K288" s="1" t="s">
        <v>40</v>
      </c>
      <c r="L288" s="1" t="s">
        <v>47</v>
      </c>
      <c r="M288" s="1">
        <v>128.35</v>
      </c>
      <c r="N288" s="1">
        <v>258.01</v>
      </c>
      <c r="O288" s="1" t="s">
        <v>52</v>
      </c>
      <c r="P288" s="1">
        <v>24.1</v>
      </c>
    </row>
    <row r="289" spans="1:16" ht="13" x14ac:dyDescent="0.3">
      <c r="A289" s="1" t="s">
        <v>354</v>
      </c>
      <c r="B289" s="2">
        <v>42938</v>
      </c>
      <c r="C289" s="1">
        <v>2017</v>
      </c>
      <c r="D289" s="1" t="s">
        <v>44</v>
      </c>
      <c r="E289" s="1" t="s">
        <v>45</v>
      </c>
      <c r="F289" s="1" t="s">
        <v>33</v>
      </c>
      <c r="G289" s="1" t="s">
        <v>56</v>
      </c>
      <c r="H289" s="1">
        <v>61.83</v>
      </c>
      <c r="I289" s="1">
        <v>296.83999999999997</v>
      </c>
      <c r="J289" s="1">
        <v>4800.93</v>
      </c>
      <c r="K289" s="1" t="s">
        <v>28</v>
      </c>
      <c r="L289" s="1" t="s">
        <v>49</v>
      </c>
      <c r="M289" s="1">
        <v>157.26</v>
      </c>
      <c r="N289" s="1">
        <v>677.4</v>
      </c>
      <c r="O289" s="1" t="s">
        <v>23</v>
      </c>
      <c r="P289" s="1">
        <v>20.57</v>
      </c>
    </row>
    <row r="290" spans="1:16" ht="13" x14ac:dyDescent="0.3">
      <c r="A290" s="1" t="s">
        <v>355</v>
      </c>
      <c r="B290" s="2">
        <v>44676</v>
      </c>
      <c r="C290" s="1">
        <v>2022</v>
      </c>
      <c r="D290" s="1" t="s">
        <v>25</v>
      </c>
      <c r="E290" s="1" t="s">
        <v>87</v>
      </c>
      <c r="F290" s="1" t="s">
        <v>19</v>
      </c>
      <c r="G290" s="1" t="s">
        <v>56</v>
      </c>
      <c r="H290" s="1">
        <v>2.77</v>
      </c>
      <c r="I290" s="1">
        <v>2.84</v>
      </c>
      <c r="J290" s="1">
        <v>1024.74</v>
      </c>
      <c r="K290" s="1" t="s">
        <v>40</v>
      </c>
      <c r="L290" s="1" t="s">
        <v>47</v>
      </c>
      <c r="M290" s="1">
        <v>106.57</v>
      </c>
      <c r="N290" s="1">
        <v>1076.99</v>
      </c>
      <c r="O290" s="1" t="s">
        <v>70</v>
      </c>
      <c r="P290" s="1">
        <v>21.93</v>
      </c>
    </row>
    <row r="291" spans="1:16" ht="13" x14ac:dyDescent="0.3">
      <c r="A291" s="1" t="s">
        <v>356</v>
      </c>
      <c r="B291" s="2">
        <v>41186</v>
      </c>
      <c r="C291" s="1">
        <v>2012</v>
      </c>
      <c r="D291" s="1" t="s">
        <v>59</v>
      </c>
      <c r="E291" s="1" t="s">
        <v>63</v>
      </c>
      <c r="F291" s="1" t="s">
        <v>33</v>
      </c>
      <c r="G291" s="1" t="s">
        <v>64</v>
      </c>
      <c r="H291" s="1">
        <v>30.52</v>
      </c>
      <c r="I291" s="1">
        <v>83.78</v>
      </c>
      <c r="J291" s="1">
        <v>2744.97</v>
      </c>
      <c r="K291" s="1" t="s">
        <v>34</v>
      </c>
      <c r="L291" s="1" t="s">
        <v>49</v>
      </c>
      <c r="M291" s="1">
        <v>158.41999999999999</v>
      </c>
      <c r="N291" s="1">
        <v>886.78</v>
      </c>
      <c r="O291" s="1" t="s">
        <v>42</v>
      </c>
      <c r="P291" s="1">
        <v>25.14</v>
      </c>
    </row>
    <row r="292" spans="1:16" ht="13" x14ac:dyDescent="0.3">
      <c r="A292" s="1" t="s">
        <v>357</v>
      </c>
      <c r="B292" s="2">
        <v>41307</v>
      </c>
      <c r="C292" s="1">
        <v>2012</v>
      </c>
      <c r="D292" s="1" t="s">
        <v>44</v>
      </c>
      <c r="E292" s="1" t="s">
        <v>45</v>
      </c>
      <c r="F292" s="1" t="s">
        <v>38</v>
      </c>
      <c r="G292" s="1" t="s">
        <v>64</v>
      </c>
      <c r="H292" s="1">
        <v>23.61</v>
      </c>
      <c r="I292" s="1">
        <v>126.62</v>
      </c>
      <c r="J292" s="1">
        <v>5363.01</v>
      </c>
      <c r="K292" s="1" t="s">
        <v>40</v>
      </c>
      <c r="L292" s="1" t="s">
        <v>22</v>
      </c>
      <c r="M292" s="1">
        <v>102.8</v>
      </c>
      <c r="N292" s="1">
        <v>221.91</v>
      </c>
      <c r="O292" s="1" t="s">
        <v>61</v>
      </c>
      <c r="P292" s="1">
        <v>22.53</v>
      </c>
    </row>
    <row r="293" spans="1:16" ht="13" x14ac:dyDescent="0.3">
      <c r="A293" s="1" t="s">
        <v>358</v>
      </c>
      <c r="B293" s="2">
        <v>41754</v>
      </c>
      <c r="C293" s="1">
        <v>2014</v>
      </c>
      <c r="D293" s="1" t="s">
        <v>36</v>
      </c>
      <c r="E293" s="1" t="s">
        <v>77</v>
      </c>
      <c r="F293" s="1" t="s">
        <v>19</v>
      </c>
      <c r="G293" s="1" t="s">
        <v>27</v>
      </c>
      <c r="H293" s="1">
        <v>5.81</v>
      </c>
      <c r="I293" s="1">
        <v>40.479999999999997</v>
      </c>
      <c r="J293" s="1">
        <v>6968.08</v>
      </c>
      <c r="K293" s="1" t="s">
        <v>21</v>
      </c>
      <c r="L293" s="1" t="s">
        <v>22</v>
      </c>
      <c r="M293" s="1">
        <v>213.39</v>
      </c>
      <c r="N293" s="1">
        <v>219.74</v>
      </c>
      <c r="O293" s="1" t="s">
        <v>23</v>
      </c>
      <c r="P293" s="1">
        <v>26.25</v>
      </c>
    </row>
    <row r="294" spans="1:16" ht="13" x14ac:dyDescent="0.3">
      <c r="A294" s="1" t="s">
        <v>359</v>
      </c>
      <c r="B294" s="2">
        <v>42864</v>
      </c>
      <c r="C294" s="1">
        <v>2017</v>
      </c>
      <c r="D294" s="1" t="s">
        <v>59</v>
      </c>
      <c r="E294" s="1" t="s">
        <v>63</v>
      </c>
      <c r="F294" s="1" t="s">
        <v>19</v>
      </c>
      <c r="G294" s="1" t="s">
        <v>56</v>
      </c>
      <c r="H294" s="1">
        <v>21.34</v>
      </c>
      <c r="I294" s="1">
        <v>109.14</v>
      </c>
      <c r="J294" s="1">
        <v>5114.4399999999996</v>
      </c>
      <c r="K294" s="1" t="s">
        <v>21</v>
      </c>
      <c r="L294" s="1" t="s">
        <v>41</v>
      </c>
      <c r="M294" s="1">
        <v>125.28</v>
      </c>
      <c r="N294" s="1">
        <v>861.66</v>
      </c>
      <c r="O294" s="1" t="s">
        <v>61</v>
      </c>
      <c r="P294" s="1">
        <v>24.05</v>
      </c>
    </row>
    <row r="295" spans="1:16" ht="13" x14ac:dyDescent="0.3">
      <c r="A295" s="1" t="s">
        <v>360</v>
      </c>
      <c r="B295" s="2">
        <v>43203</v>
      </c>
      <c r="C295" s="1">
        <v>2018</v>
      </c>
      <c r="D295" s="1" t="s">
        <v>36</v>
      </c>
      <c r="E295" s="1" t="s">
        <v>37</v>
      </c>
      <c r="F295" s="1" t="s">
        <v>19</v>
      </c>
      <c r="G295" s="1" t="s">
        <v>27</v>
      </c>
      <c r="H295" s="1">
        <v>12.66</v>
      </c>
      <c r="I295" s="1">
        <v>21.32</v>
      </c>
      <c r="J295" s="1">
        <v>1684.08</v>
      </c>
      <c r="K295" s="1" t="s">
        <v>21</v>
      </c>
      <c r="L295" s="1" t="s">
        <v>49</v>
      </c>
      <c r="M295" s="1">
        <v>174.43</v>
      </c>
      <c r="N295" s="1">
        <v>809</v>
      </c>
      <c r="O295" s="1" t="s">
        <v>70</v>
      </c>
      <c r="P295" s="1">
        <v>32.47</v>
      </c>
    </row>
    <row r="296" spans="1:16" ht="13" x14ac:dyDescent="0.3">
      <c r="A296" s="1" t="s">
        <v>361</v>
      </c>
      <c r="B296" s="2">
        <v>41937</v>
      </c>
      <c r="C296" s="1">
        <v>2014</v>
      </c>
      <c r="D296" s="1" t="s">
        <v>17</v>
      </c>
      <c r="E296" s="1" t="s">
        <v>72</v>
      </c>
      <c r="F296" s="1" t="s">
        <v>33</v>
      </c>
      <c r="G296" s="1" t="s">
        <v>64</v>
      </c>
      <c r="H296" s="1">
        <v>55.27</v>
      </c>
      <c r="I296" s="1">
        <v>357.16</v>
      </c>
      <c r="J296" s="1">
        <v>6462.14</v>
      </c>
      <c r="K296" s="1" t="s">
        <v>28</v>
      </c>
      <c r="L296" s="1" t="s">
        <v>29</v>
      </c>
      <c r="M296" s="1">
        <v>132.65</v>
      </c>
      <c r="N296" s="1">
        <v>202.74</v>
      </c>
      <c r="O296" s="1" t="s">
        <v>23</v>
      </c>
      <c r="P296" s="1">
        <v>33.6</v>
      </c>
    </row>
    <row r="297" spans="1:16" ht="13" x14ac:dyDescent="0.3">
      <c r="A297" s="1" t="s">
        <v>362</v>
      </c>
      <c r="B297" s="2">
        <v>44655</v>
      </c>
      <c r="C297" s="1">
        <v>2022</v>
      </c>
      <c r="D297" s="1" t="s">
        <v>103</v>
      </c>
      <c r="E297" s="1" t="s">
        <v>104</v>
      </c>
      <c r="F297" s="1" t="s">
        <v>19</v>
      </c>
      <c r="G297" s="1" t="s">
        <v>64</v>
      </c>
      <c r="H297" s="1">
        <v>72.63</v>
      </c>
      <c r="I297" s="1">
        <v>116.77</v>
      </c>
      <c r="J297" s="1">
        <v>1607.74</v>
      </c>
      <c r="K297" s="1" t="s">
        <v>34</v>
      </c>
      <c r="L297" s="1" t="s">
        <v>22</v>
      </c>
      <c r="M297" s="1">
        <v>211.08</v>
      </c>
      <c r="N297" s="1">
        <v>656.75</v>
      </c>
      <c r="O297" s="1" t="s">
        <v>70</v>
      </c>
      <c r="P297" s="1">
        <v>23.96</v>
      </c>
    </row>
    <row r="298" spans="1:16" ht="13" x14ac:dyDescent="0.3">
      <c r="A298" s="1" t="s">
        <v>363</v>
      </c>
      <c r="B298" s="2">
        <v>40518</v>
      </c>
      <c r="C298" s="1">
        <v>2010</v>
      </c>
      <c r="D298" s="1" t="s">
        <v>44</v>
      </c>
      <c r="E298" s="1" t="s">
        <v>45</v>
      </c>
      <c r="F298" s="1" t="s">
        <v>38</v>
      </c>
      <c r="G298" s="1" t="s">
        <v>20</v>
      </c>
      <c r="H298" s="1">
        <v>80.36</v>
      </c>
      <c r="I298" s="1">
        <v>231.13</v>
      </c>
      <c r="J298" s="1">
        <v>2876.24</v>
      </c>
      <c r="K298" s="1" t="s">
        <v>21</v>
      </c>
      <c r="L298" s="1" t="s">
        <v>41</v>
      </c>
      <c r="M298" s="1">
        <v>73.75</v>
      </c>
      <c r="N298" s="1">
        <v>958.2</v>
      </c>
      <c r="O298" s="1" t="s">
        <v>23</v>
      </c>
      <c r="P298" s="1">
        <v>20.149999999999999</v>
      </c>
    </row>
    <row r="299" spans="1:16" ht="13" x14ac:dyDescent="0.3">
      <c r="A299" s="1" t="s">
        <v>364</v>
      </c>
      <c r="B299" s="2">
        <v>42850</v>
      </c>
      <c r="C299" s="1">
        <v>2017</v>
      </c>
      <c r="D299" s="1" t="s">
        <v>31</v>
      </c>
      <c r="E299" s="1" t="s">
        <v>32</v>
      </c>
      <c r="F299" s="1" t="s">
        <v>19</v>
      </c>
      <c r="G299" s="1" t="s">
        <v>20</v>
      </c>
      <c r="H299" s="1">
        <v>87.97</v>
      </c>
      <c r="I299" s="1">
        <v>137.03</v>
      </c>
      <c r="J299" s="1">
        <v>1557.71</v>
      </c>
      <c r="K299" s="1" t="s">
        <v>34</v>
      </c>
      <c r="L299" s="1" t="s">
        <v>29</v>
      </c>
      <c r="M299" s="1">
        <v>95.72</v>
      </c>
      <c r="N299" s="1">
        <v>600.78</v>
      </c>
      <c r="O299" s="1" t="s">
        <v>52</v>
      </c>
      <c r="P299" s="1">
        <v>24.08</v>
      </c>
    </row>
    <row r="300" spans="1:16" ht="13" x14ac:dyDescent="0.3">
      <c r="A300" s="1" t="s">
        <v>365</v>
      </c>
      <c r="B300" s="2">
        <v>44095</v>
      </c>
      <c r="C300" s="1">
        <v>2020</v>
      </c>
      <c r="D300" s="1" t="s">
        <v>44</v>
      </c>
      <c r="E300" s="1" t="s">
        <v>99</v>
      </c>
      <c r="F300" s="1" t="s">
        <v>33</v>
      </c>
      <c r="G300" s="1" t="s">
        <v>64</v>
      </c>
      <c r="H300" s="1">
        <v>14.12</v>
      </c>
      <c r="I300" s="1">
        <v>75.66</v>
      </c>
      <c r="J300" s="1">
        <v>5358.47</v>
      </c>
      <c r="K300" s="1" t="s">
        <v>40</v>
      </c>
      <c r="L300" s="1" t="s">
        <v>41</v>
      </c>
      <c r="M300" s="1">
        <v>75.930000000000007</v>
      </c>
      <c r="N300" s="1">
        <v>1111.23</v>
      </c>
      <c r="O300" s="1" t="s">
        <v>52</v>
      </c>
      <c r="P300" s="1">
        <v>32.03</v>
      </c>
    </row>
    <row r="301" spans="1:16" ht="13" x14ac:dyDescent="0.3">
      <c r="A301" s="1" t="s">
        <v>366</v>
      </c>
      <c r="B301" s="2">
        <v>44882</v>
      </c>
      <c r="C301" s="1">
        <v>2022</v>
      </c>
      <c r="D301" s="1" t="s">
        <v>59</v>
      </c>
      <c r="E301" s="1" t="s">
        <v>63</v>
      </c>
      <c r="F301" s="1" t="s">
        <v>38</v>
      </c>
      <c r="G301" s="1" t="s">
        <v>27</v>
      </c>
      <c r="H301" s="1">
        <v>3.85</v>
      </c>
      <c r="I301" s="1">
        <v>19.66</v>
      </c>
      <c r="J301" s="1">
        <v>5106.78</v>
      </c>
      <c r="K301" s="1" t="s">
        <v>40</v>
      </c>
      <c r="L301" s="1" t="s">
        <v>49</v>
      </c>
      <c r="M301" s="1">
        <v>170.77</v>
      </c>
      <c r="N301" s="1">
        <v>688.12</v>
      </c>
      <c r="O301" s="1" t="s">
        <v>52</v>
      </c>
      <c r="P301" s="1">
        <v>26.61</v>
      </c>
    </row>
    <row r="302" spans="1:16" ht="13" x14ac:dyDescent="0.3">
      <c r="A302" s="1" t="s">
        <v>367</v>
      </c>
      <c r="B302" s="2">
        <v>40313</v>
      </c>
      <c r="C302" s="1">
        <v>2010</v>
      </c>
      <c r="D302" s="1" t="s">
        <v>17</v>
      </c>
      <c r="E302" s="1" t="s">
        <v>72</v>
      </c>
      <c r="F302" s="1" t="s">
        <v>19</v>
      </c>
      <c r="G302" s="1" t="s">
        <v>39</v>
      </c>
      <c r="H302" s="1">
        <v>52.96</v>
      </c>
      <c r="I302" s="1">
        <v>289.25</v>
      </c>
      <c r="J302" s="1">
        <v>5461.74</v>
      </c>
      <c r="K302" s="1" t="s">
        <v>40</v>
      </c>
      <c r="L302" s="1" t="s">
        <v>47</v>
      </c>
      <c r="M302" s="1">
        <v>294.47000000000003</v>
      </c>
      <c r="N302" s="1">
        <v>869.84</v>
      </c>
      <c r="O302" s="1" t="s">
        <v>70</v>
      </c>
      <c r="P302" s="1">
        <v>27.79</v>
      </c>
    </row>
    <row r="303" spans="1:16" ht="13" x14ac:dyDescent="0.3">
      <c r="A303" s="1" t="s">
        <v>368</v>
      </c>
      <c r="B303" s="2">
        <v>43963</v>
      </c>
      <c r="C303" s="1">
        <v>2020</v>
      </c>
      <c r="D303" s="1" t="s">
        <v>25</v>
      </c>
      <c r="E303" s="1" t="s">
        <v>87</v>
      </c>
      <c r="F303" s="1" t="s">
        <v>19</v>
      </c>
      <c r="G303" s="1" t="s">
        <v>56</v>
      </c>
      <c r="H303" s="1">
        <v>48.71</v>
      </c>
      <c r="I303" s="1">
        <v>242.69</v>
      </c>
      <c r="J303" s="1">
        <v>4982.26</v>
      </c>
      <c r="K303" s="1" t="s">
        <v>28</v>
      </c>
      <c r="L303" s="1" t="s">
        <v>41</v>
      </c>
      <c r="M303" s="1">
        <v>87.16</v>
      </c>
      <c r="N303" s="1">
        <v>1026.44</v>
      </c>
      <c r="O303" s="1" t="s">
        <v>61</v>
      </c>
      <c r="P303" s="1">
        <v>20.82</v>
      </c>
    </row>
    <row r="304" spans="1:16" ht="13" x14ac:dyDescent="0.3">
      <c r="A304" s="1" t="s">
        <v>369</v>
      </c>
      <c r="B304" s="2">
        <v>42983</v>
      </c>
      <c r="C304" s="1">
        <v>2017</v>
      </c>
      <c r="D304" s="1" t="s">
        <v>59</v>
      </c>
      <c r="E304" s="1" t="s">
        <v>63</v>
      </c>
      <c r="F304" s="1" t="s">
        <v>33</v>
      </c>
      <c r="G304" s="1" t="s">
        <v>64</v>
      </c>
      <c r="H304" s="1">
        <v>75.39</v>
      </c>
      <c r="I304" s="1">
        <v>220.43</v>
      </c>
      <c r="J304" s="1">
        <v>2923.8</v>
      </c>
      <c r="K304" s="1" t="s">
        <v>34</v>
      </c>
      <c r="L304" s="1" t="s">
        <v>29</v>
      </c>
      <c r="M304" s="1">
        <v>292.54000000000002</v>
      </c>
      <c r="N304" s="1">
        <v>250.35</v>
      </c>
      <c r="O304" s="1" t="s">
        <v>42</v>
      </c>
      <c r="P304" s="1">
        <v>28.26</v>
      </c>
    </row>
    <row r="305" spans="1:16" ht="13" x14ac:dyDescent="0.3">
      <c r="A305" s="1" t="s">
        <v>370</v>
      </c>
      <c r="B305" s="2">
        <v>40852</v>
      </c>
      <c r="C305" s="1">
        <v>2011</v>
      </c>
      <c r="D305" s="1" t="s">
        <v>44</v>
      </c>
      <c r="E305" s="1" t="s">
        <v>45</v>
      </c>
      <c r="F305" s="1" t="s">
        <v>38</v>
      </c>
      <c r="G305" s="1" t="s">
        <v>46</v>
      </c>
      <c r="H305" s="1">
        <v>80.319999999999993</v>
      </c>
      <c r="I305" s="1">
        <v>296.27</v>
      </c>
      <c r="J305" s="1">
        <v>3688.59</v>
      </c>
      <c r="K305" s="1" t="s">
        <v>28</v>
      </c>
      <c r="L305" s="1" t="s">
        <v>22</v>
      </c>
      <c r="M305" s="1">
        <v>161.77000000000001</v>
      </c>
      <c r="N305" s="1">
        <v>318.70999999999998</v>
      </c>
      <c r="O305" s="1" t="s">
        <v>52</v>
      </c>
      <c r="P305" s="1">
        <v>31.18</v>
      </c>
    </row>
    <row r="306" spans="1:16" ht="13" x14ac:dyDescent="0.3">
      <c r="A306" s="1" t="s">
        <v>371</v>
      </c>
      <c r="B306" s="2">
        <v>40292</v>
      </c>
      <c r="C306" s="1">
        <v>2010</v>
      </c>
      <c r="D306" s="1" t="s">
        <v>36</v>
      </c>
      <c r="E306" s="1" t="s">
        <v>51</v>
      </c>
      <c r="F306" s="1" t="s">
        <v>19</v>
      </c>
      <c r="G306" s="1" t="s">
        <v>27</v>
      </c>
      <c r="H306" s="1">
        <v>1.02</v>
      </c>
      <c r="I306" s="1">
        <v>1.58</v>
      </c>
      <c r="J306" s="1">
        <v>1545.37</v>
      </c>
      <c r="K306" s="1" t="s">
        <v>34</v>
      </c>
      <c r="L306" s="1" t="s">
        <v>22</v>
      </c>
      <c r="M306" s="1">
        <v>272.52999999999997</v>
      </c>
      <c r="N306" s="1">
        <v>762.33</v>
      </c>
      <c r="O306" s="1" t="s">
        <v>52</v>
      </c>
      <c r="P306" s="1">
        <v>34.26</v>
      </c>
    </row>
    <row r="307" spans="1:16" ht="13" x14ac:dyDescent="0.3">
      <c r="A307" s="1" t="s">
        <v>372</v>
      </c>
      <c r="B307" s="2">
        <v>43130</v>
      </c>
      <c r="C307" s="1">
        <v>2017</v>
      </c>
      <c r="D307" s="1" t="s">
        <v>44</v>
      </c>
      <c r="E307" s="1" t="s">
        <v>45</v>
      </c>
      <c r="F307" s="1" t="s">
        <v>38</v>
      </c>
      <c r="G307" s="1" t="s">
        <v>27</v>
      </c>
      <c r="H307" s="1">
        <v>76.97</v>
      </c>
      <c r="I307" s="1">
        <v>354.04</v>
      </c>
      <c r="J307" s="1">
        <v>4599.71</v>
      </c>
      <c r="K307" s="1" t="s">
        <v>34</v>
      </c>
      <c r="L307" s="1" t="s">
        <v>49</v>
      </c>
      <c r="M307" s="1">
        <v>228.98</v>
      </c>
      <c r="N307" s="1">
        <v>314.02</v>
      </c>
      <c r="O307" s="1" t="s">
        <v>42</v>
      </c>
      <c r="P307" s="1">
        <v>20.03</v>
      </c>
    </row>
    <row r="308" spans="1:16" ht="13" x14ac:dyDescent="0.3">
      <c r="A308" s="1" t="s">
        <v>373</v>
      </c>
      <c r="B308" s="2">
        <v>42134</v>
      </c>
      <c r="C308" s="1">
        <v>2015</v>
      </c>
      <c r="D308" s="1" t="s">
        <v>59</v>
      </c>
      <c r="E308" s="1" t="s">
        <v>93</v>
      </c>
      <c r="F308" s="1" t="s">
        <v>19</v>
      </c>
      <c r="G308" s="1" t="s">
        <v>64</v>
      </c>
      <c r="H308" s="1">
        <v>5.53</v>
      </c>
      <c r="I308" s="1">
        <v>10.98</v>
      </c>
      <c r="J308" s="1">
        <v>1984.93</v>
      </c>
      <c r="K308" s="1" t="s">
        <v>40</v>
      </c>
      <c r="L308" s="1" t="s">
        <v>41</v>
      </c>
      <c r="M308" s="1">
        <v>255.46</v>
      </c>
      <c r="N308" s="1">
        <v>942.51</v>
      </c>
      <c r="O308" s="1" t="s">
        <v>52</v>
      </c>
      <c r="P308" s="1">
        <v>21.6</v>
      </c>
    </row>
    <row r="309" spans="1:16" ht="13" x14ac:dyDescent="0.3">
      <c r="A309" s="1" t="s">
        <v>374</v>
      </c>
      <c r="B309" s="2">
        <v>42637</v>
      </c>
      <c r="C309" s="1">
        <v>2016</v>
      </c>
      <c r="D309" s="1" t="s">
        <v>103</v>
      </c>
      <c r="E309" s="1" t="s">
        <v>104</v>
      </c>
      <c r="F309" s="1" t="s">
        <v>33</v>
      </c>
      <c r="G309" s="1" t="s">
        <v>46</v>
      </c>
      <c r="H309" s="1">
        <v>82.63</v>
      </c>
      <c r="I309" s="1">
        <v>177.11</v>
      </c>
      <c r="J309" s="1">
        <v>2143.4699999999998</v>
      </c>
      <c r="K309" s="1" t="s">
        <v>34</v>
      </c>
      <c r="L309" s="1" t="s">
        <v>29</v>
      </c>
      <c r="M309" s="1">
        <v>76.94</v>
      </c>
      <c r="N309" s="1">
        <v>614.47</v>
      </c>
      <c r="O309" s="1" t="s">
        <v>61</v>
      </c>
      <c r="P309" s="1">
        <v>21.85</v>
      </c>
    </row>
    <row r="310" spans="1:16" ht="13" x14ac:dyDescent="0.3">
      <c r="A310" s="1" t="s">
        <v>375</v>
      </c>
      <c r="B310" s="2">
        <v>43297</v>
      </c>
      <c r="C310" s="1">
        <v>2018</v>
      </c>
      <c r="D310" s="1" t="s">
        <v>17</v>
      </c>
      <c r="E310" s="1" t="s">
        <v>54</v>
      </c>
      <c r="F310" s="1" t="s">
        <v>33</v>
      </c>
      <c r="G310" s="1" t="s">
        <v>46</v>
      </c>
      <c r="H310" s="1">
        <v>1.43</v>
      </c>
      <c r="I310" s="1">
        <v>7.75</v>
      </c>
      <c r="J310" s="1">
        <v>5417.28</v>
      </c>
      <c r="K310" s="1" t="s">
        <v>28</v>
      </c>
      <c r="L310" s="1" t="s">
        <v>47</v>
      </c>
      <c r="M310" s="1">
        <v>259.7</v>
      </c>
      <c r="N310" s="1">
        <v>682.93</v>
      </c>
      <c r="O310" s="1" t="s">
        <v>61</v>
      </c>
      <c r="P310" s="1">
        <v>31.72</v>
      </c>
    </row>
    <row r="311" spans="1:16" ht="13" x14ac:dyDescent="0.3">
      <c r="A311" s="1" t="s">
        <v>376</v>
      </c>
      <c r="B311" s="2">
        <v>41124</v>
      </c>
      <c r="C311" s="1">
        <v>2012</v>
      </c>
      <c r="D311" s="1" t="s">
        <v>103</v>
      </c>
      <c r="E311" s="1" t="s">
        <v>228</v>
      </c>
      <c r="F311" s="1" t="s">
        <v>33</v>
      </c>
      <c r="G311" s="1" t="s">
        <v>46</v>
      </c>
      <c r="H311" s="1">
        <v>66.09</v>
      </c>
      <c r="I311" s="1">
        <v>306.45999999999998</v>
      </c>
      <c r="J311" s="1">
        <v>4636.96</v>
      </c>
      <c r="K311" s="1" t="s">
        <v>34</v>
      </c>
      <c r="L311" s="1" t="s">
        <v>49</v>
      </c>
      <c r="M311" s="1">
        <v>176.03</v>
      </c>
      <c r="N311" s="1">
        <v>584.66</v>
      </c>
      <c r="O311" s="1" t="s">
        <v>61</v>
      </c>
      <c r="P311" s="1">
        <v>33.74</v>
      </c>
    </row>
    <row r="312" spans="1:16" ht="13" x14ac:dyDescent="0.3">
      <c r="A312" s="1" t="s">
        <v>377</v>
      </c>
      <c r="B312" s="2">
        <v>42085</v>
      </c>
      <c r="C312" s="1">
        <v>2014</v>
      </c>
      <c r="D312" s="1" t="s">
        <v>36</v>
      </c>
      <c r="E312" s="1" t="s">
        <v>51</v>
      </c>
      <c r="F312" s="1" t="s">
        <v>38</v>
      </c>
      <c r="G312" s="1" t="s">
        <v>56</v>
      </c>
      <c r="H312" s="1">
        <v>14.68</v>
      </c>
      <c r="I312" s="1">
        <v>67.75</v>
      </c>
      <c r="J312" s="1">
        <v>4615.1499999999996</v>
      </c>
      <c r="K312" s="1" t="s">
        <v>34</v>
      </c>
      <c r="L312" s="1" t="s">
        <v>41</v>
      </c>
      <c r="M312" s="1">
        <v>260.77</v>
      </c>
      <c r="N312" s="1">
        <v>747.81</v>
      </c>
      <c r="O312" s="1" t="s">
        <v>70</v>
      </c>
      <c r="P312" s="1">
        <v>30.68</v>
      </c>
    </row>
    <row r="313" spans="1:16" ht="13" x14ac:dyDescent="0.3">
      <c r="A313" s="1" t="s">
        <v>378</v>
      </c>
      <c r="B313" s="2">
        <v>43600</v>
      </c>
      <c r="C313" s="1">
        <v>2019</v>
      </c>
      <c r="D313" s="1" t="s">
        <v>103</v>
      </c>
      <c r="E313" s="1" t="s">
        <v>104</v>
      </c>
      <c r="F313" s="1" t="s">
        <v>19</v>
      </c>
      <c r="G313" s="1" t="s">
        <v>20</v>
      </c>
      <c r="H313" s="1">
        <v>68.97</v>
      </c>
      <c r="I313" s="1">
        <v>450.18</v>
      </c>
      <c r="J313" s="1">
        <v>6527.15</v>
      </c>
      <c r="K313" s="1" t="s">
        <v>40</v>
      </c>
      <c r="L313" s="1" t="s">
        <v>49</v>
      </c>
      <c r="M313" s="1">
        <v>295.33</v>
      </c>
      <c r="N313" s="1">
        <v>850.09</v>
      </c>
      <c r="O313" s="1" t="s">
        <v>42</v>
      </c>
      <c r="P313" s="1">
        <v>27.56</v>
      </c>
    </row>
    <row r="314" spans="1:16" ht="13" x14ac:dyDescent="0.3">
      <c r="A314" s="1" t="s">
        <v>379</v>
      </c>
      <c r="B314" s="2">
        <v>44974</v>
      </c>
      <c r="C314" s="1">
        <v>2022</v>
      </c>
      <c r="D314" s="1" t="s">
        <v>17</v>
      </c>
      <c r="E314" s="1" t="s">
        <v>18</v>
      </c>
      <c r="F314" s="1" t="s">
        <v>38</v>
      </c>
      <c r="G314" s="1" t="s">
        <v>27</v>
      </c>
      <c r="H314" s="1">
        <v>48.56</v>
      </c>
      <c r="I314" s="1">
        <v>214.82</v>
      </c>
      <c r="J314" s="1">
        <v>4423.83</v>
      </c>
      <c r="K314" s="1" t="s">
        <v>28</v>
      </c>
      <c r="L314" s="1" t="s">
        <v>22</v>
      </c>
      <c r="M314" s="1">
        <v>218.56</v>
      </c>
      <c r="N314" s="1">
        <v>1093.8699999999999</v>
      </c>
      <c r="O314" s="1" t="s">
        <v>61</v>
      </c>
      <c r="P314" s="1">
        <v>24.29</v>
      </c>
    </row>
    <row r="315" spans="1:16" ht="13" x14ac:dyDescent="0.3">
      <c r="A315" s="1" t="s">
        <v>380</v>
      </c>
      <c r="B315" s="2">
        <v>40520</v>
      </c>
      <c r="C315" s="1">
        <v>2010</v>
      </c>
      <c r="D315" s="1" t="s">
        <v>59</v>
      </c>
      <c r="E315" s="1" t="s">
        <v>60</v>
      </c>
      <c r="F315" s="1" t="s">
        <v>38</v>
      </c>
      <c r="G315" s="1" t="s">
        <v>56</v>
      </c>
      <c r="H315" s="1">
        <v>6.25</v>
      </c>
      <c r="I315" s="1">
        <v>8.3699999999999992</v>
      </c>
      <c r="J315" s="1">
        <v>1339.63</v>
      </c>
      <c r="K315" s="1" t="s">
        <v>34</v>
      </c>
      <c r="L315" s="1" t="s">
        <v>22</v>
      </c>
      <c r="M315" s="1">
        <v>237.55</v>
      </c>
      <c r="N315" s="1">
        <v>360.94</v>
      </c>
      <c r="O315" s="1" t="s">
        <v>70</v>
      </c>
      <c r="P315" s="1">
        <v>30.25</v>
      </c>
    </row>
    <row r="316" spans="1:16" ht="13" x14ac:dyDescent="0.3">
      <c r="A316" s="1" t="s">
        <v>381</v>
      </c>
      <c r="B316" s="2">
        <v>41415</v>
      </c>
      <c r="C316" s="1">
        <v>2013</v>
      </c>
      <c r="D316" s="1" t="s">
        <v>17</v>
      </c>
      <c r="E316" s="1" t="s">
        <v>72</v>
      </c>
      <c r="F316" s="1" t="s">
        <v>19</v>
      </c>
      <c r="G316" s="1" t="s">
        <v>64</v>
      </c>
      <c r="H316" s="1">
        <v>36.51</v>
      </c>
      <c r="I316" s="1">
        <v>135.66</v>
      </c>
      <c r="J316" s="1">
        <v>3715.57</v>
      </c>
      <c r="K316" s="1" t="s">
        <v>40</v>
      </c>
      <c r="L316" s="1" t="s">
        <v>49</v>
      </c>
      <c r="M316" s="1">
        <v>235.6</v>
      </c>
      <c r="N316" s="1">
        <v>761.27</v>
      </c>
      <c r="O316" s="1" t="s">
        <v>42</v>
      </c>
      <c r="P316" s="1">
        <v>27.66</v>
      </c>
    </row>
    <row r="317" spans="1:16" ht="13" x14ac:dyDescent="0.3">
      <c r="A317" s="1" t="s">
        <v>382</v>
      </c>
      <c r="B317" s="2">
        <v>40596</v>
      </c>
      <c r="C317" s="1">
        <v>2010</v>
      </c>
      <c r="D317" s="1" t="s">
        <v>17</v>
      </c>
      <c r="E317" s="1" t="s">
        <v>54</v>
      </c>
      <c r="F317" s="1" t="s">
        <v>38</v>
      </c>
      <c r="G317" s="1" t="s">
        <v>46</v>
      </c>
      <c r="H317" s="1">
        <v>42.24</v>
      </c>
      <c r="I317" s="1">
        <v>241.98</v>
      </c>
      <c r="J317" s="1">
        <v>5728.67</v>
      </c>
      <c r="K317" s="1" t="s">
        <v>34</v>
      </c>
      <c r="L317" s="1" t="s">
        <v>41</v>
      </c>
      <c r="M317" s="1">
        <v>291.45999999999998</v>
      </c>
      <c r="N317" s="1">
        <v>253.8</v>
      </c>
      <c r="O317" s="1" t="s">
        <v>70</v>
      </c>
      <c r="P317" s="1">
        <v>23.05</v>
      </c>
    </row>
    <row r="318" spans="1:16" ht="13" x14ac:dyDescent="0.3">
      <c r="A318" s="1" t="s">
        <v>383</v>
      </c>
      <c r="B318" s="2">
        <v>44330</v>
      </c>
      <c r="C318" s="1">
        <v>2021</v>
      </c>
      <c r="D318" s="1" t="s">
        <v>17</v>
      </c>
      <c r="E318" s="1" t="s">
        <v>54</v>
      </c>
      <c r="F318" s="1" t="s">
        <v>19</v>
      </c>
      <c r="G318" s="1" t="s">
        <v>20</v>
      </c>
      <c r="H318" s="1">
        <v>75.760000000000005</v>
      </c>
      <c r="I318" s="1">
        <v>324.23</v>
      </c>
      <c r="J318" s="1">
        <v>4279.6899999999996</v>
      </c>
      <c r="K318" s="1" t="s">
        <v>40</v>
      </c>
      <c r="L318" s="1" t="s">
        <v>22</v>
      </c>
      <c r="M318" s="1">
        <v>244.04</v>
      </c>
      <c r="N318" s="1">
        <v>1164.29</v>
      </c>
      <c r="O318" s="1" t="s">
        <v>70</v>
      </c>
      <c r="P318" s="1">
        <v>26.73</v>
      </c>
    </row>
    <row r="319" spans="1:16" ht="13" x14ac:dyDescent="0.3">
      <c r="A319" s="1" t="s">
        <v>384</v>
      </c>
      <c r="B319" s="2">
        <v>44316</v>
      </c>
      <c r="C319" s="1">
        <v>2021</v>
      </c>
      <c r="D319" s="1" t="s">
        <v>103</v>
      </c>
      <c r="E319" s="1" t="s">
        <v>104</v>
      </c>
      <c r="F319" s="1" t="s">
        <v>19</v>
      </c>
      <c r="G319" s="1" t="s">
        <v>64</v>
      </c>
      <c r="H319" s="1">
        <v>38.340000000000003</v>
      </c>
      <c r="I319" s="1">
        <v>136.91</v>
      </c>
      <c r="J319" s="1">
        <v>3571.05</v>
      </c>
      <c r="K319" s="1" t="s">
        <v>34</v>
      </c>
      <c r="L319" s="1" t="s">
        <v>41</v>
      </c>
      <c r="M319" s="1">
        <v>82.52</v>
      </c>
      <c r="N319" s="1">
        <v>783.99</v>
      </c>
      <c r="O319" s="1" t="s">
        <v>70</v>
      </c>
      <c r="P319" s="1">
        <v>20.079999999999998</v>
      </c>
    </row>
    <row r="320" spans="1:16" ht="13" x14ac:dyDescent="0.3">
      <c r="A320" s="1" t="s">
        <v>385</v>
      </c>
      <c r="B320" s="2">
        <v>42140</v>
      </c>
      <c r="C320" s="1">
        <v>2015</v>
      </c>
      <c r="D320" s="1" t="s">
        <v>25</v>
      </c>
      <c r="E320" s="1" t="s">
        <v>26</v>
      </c>
      <c r="F320" s="1" t="s">
        <v>19</v>
      </c>
      <c r="G320" s="1" t="s">
        <v>64</v>
      </c>
      <c r="H320" s="1">
        <v>77.59</v>
      </c>
      <c r="I320" s="1">
        <v>368.72</v>
      </c>
      <c r="J320" s="1">
        <v>4752.2</v>
      </c>
      <c r="K320" s="1" t="s">
        <v>34</v>
      </c>
      <c r="L320" s="1" t="s">
        <v>49</v>
      </c>
      <c r="M320" s="1">
        <v>172.64</v>
      </c>
      <c r="N320" s="1">
        <v>772.68</v>
      </c>
      <c r="O320" s="1" t="s">
        <v>70</v>
      </c>
      <c r="P320" s="1">
        <v>21.09</v>
      </c>
    </row>
    <row r="321" spans="1:16" ht="13" x14ac:dyDescent="0.3">
      <c r="A321" s="1" t="s">
        <v>386</v>
      </c>
      <c r="B321" s="2">
        <v>41021</v>
      </c>
      <c r="C321" s="1">
        <v>2012</v>
      </c>
      <c r="D321" s="1" t="s">
        <v>59</v>
      </c>
      <c r="E321" s="1" t="s">
        <v>60</v>
      </c>
      <c r="F321" s="1" t="s">
        <v>19</v>
      </c>
      <c r="G321" s="1" t="s">
        <v>64</v>
      </c>
      <c r="H321" s="1">
        <v>78.84</v>
      </c>
      <c r="I321" s="1">
        <v>154.22999999999999</v>
      </c>
      <c r="J321" s="1">
        <v>1956.22</v>
      </c>
      <c r="K321" s="1" t="s">
        <v>28</v>
      </c>
      <c r="L321" s="1" t="s">
        <v>49</v>
      </c>
      <c r="M321" s="1">
        <v>72.989999999999995</v>
      </c>
      <c r="N321" s="1">
        <v>421.2</v>
      </c>
      <c r="O321" s="1" t="s">
        <v>42</v>
      </c>
      <c r="P321" s="1">
        <v>29.95</v>
      </c>
    </row>
    <row r="322" spans="1:16" ht="13" x14ac:dyDescent="0.3">
      <c r="A322" s="1" t="s">
        <v>387</v>
      </c>
      <c r="B322" s="2">
        <v>44691</v>
      </c>
      <c r="C322" s="1">
        <v>2022</v>
      </c>
      <c r="D322" s="1" t="s">
        <v>31</v>
      </c>
      <c r="E322" s="1" t="s">
        <v>82</v>
      </c>
      <c r="F322" s="1" t="s">
        <v>19</v>
      </c>
      <c r="G322" s="1" t="s">
        <v>27</v>
      </c>
      <c r="H322" s="1">
        <v>48.01</v>
      </c>
      <c r="I322" s="1">
        <v>209.71</v>
      </c>
      <c r="J322" s="1">
        <v>4368.01</v>
      </c>
      <c r="K322" s="1" t="s">
        <v>21</v>
      </c>
      <c r="L322" s="1" t="s">
        <v>47</v>
      </c>
      <c r="M322" s="1">
        <v>78.680000000000007</v>
      </c>
      <c r="N322" s="1">
        <v>546.01</v>
      </c>
      <c r="O322" s="1" t="s">
        <v>42</v>
      </c>
      <c r="P322" s="1">
        <v>33.57</v>
      </c>
    </row>
    <row r="323" spans="1:16" ht="13" x14ac:dyDescent="0.3">
      <c r="A323" s="1" t="s">
        <v>388</v>
      </c>
      <c r="B323" s="2">
        <v>44231</v>
      </c>
      <c r="C323" s="1">
        <v>2020</v>
      </c>
      <c r="D323" s="1" t="s">
        <v>103</v>
      </c>
      <c r="E323" s="1" t="s">
        <v>104</v>
      </c>
      <c r="F323" s="1" t="s">
        <v>38</v>
      </c>
      <c r="G323" s="1" t="s">
        <v>46</v>
      </c>
      <c r="H323" s="1">
        <v>91.68</v>
      </c>
      <c r="I323" s="1">
        <v>611.5</v>
      </c>
      <c r="J323" s="1">
        <v>6669.93</v>
      </c>
      <c r="K323" s="1" t="s">
        <v>28</v>
      </c>
      <c r="L323" s="1" t="s">
        <v>47</v>
      </c>
      <c r="M323" s="1">
        <v>114.15</v>
      </c>
      <c r="N323" s="1">
        <v>923.98</v>
      </c>
      <c r="O323" s="1" t="s">
        <v>23</v>
      </c>
      <c r="P323" s="1">
        <v>33.67</v>
      </c>
    </row>
    <row r="324" spans="1:16" ht="13" x14ac:dyDescent="0.3">
      <c r="A324" s="1" t="s">
        <v>389</v>
      </c>
      <c r="B324" s="2">
        <v>43177</v>
      </c>
      <c r="C324" s="1">
        <v>2017</v>
      </c>
      <c r="D324" s="1" t="s">
        <v>44</v>
      </c>
      <c r="E324" s="1" t="s">
        <v>67</v>
      </c>
      <c r="F324" s="1" t="s">
        <v>38</v>
      </c>
      <c r="G324" s="1" t="s">
        <v>64</v>
      </c>
      <c r="H324" s="1">
        <v>30.35</v>
      </c>
      <c r="I324" s="1">
        <v>148.99</v>
      </c>
      <c r="J324" s="1">
        <v>4909.17</v>
      </c>
      <c r="K324" s="1" t="s">
        <v>34</v>
      </c>
      <c r="L324" s="1" t="s">
        <v>47</v>
      </c>
      <c r="M324" s="1">
        <v>178.47</v>
      </c>
      <c r="N324" s="1">
        <v>1148.21</v>
      </c>
      <c r="O324" s="1" t="s">
        <v>42</v>
      </c>
      <c r="P324" s="1">
        <v>34.57</v>
      </c>
    </row>
    <row r="325" spans="1:16" ht="13" x14ac:dyDescent="0.3">
      <c r="A325" s="1" t="s">
        <v>390</v>
      </c>
      <c r="B325" s="2">
        <v>40713</v>
      </c>
      <c r="C325" s="1">
        <v>2011</v>
      </c>
      <c r="D325" s="1" t="s">
        <v>25</v>
      </c>
      <c r="E325" s="1" t="s">
        <v>69</v>
      </c>
      <c r="F325" s="1" t="s">
        <v>33</v>
      </c>
      <c r="G325" s="1" t="s">
        <v>39</v>
      </c>
      <c r="H325" s="1">
        <v>63.32</v>
      </c>
      <c r="I325" s="1">
        <v>144.31</v>
      </c>
      <c r="J325" s="1">
        <v>2279.0500000000002</v>
      </c>
      <c r="K325" s="1" t="s">
        <v>28</v>
      </c>
      <c r="L325" s="1" t="s">
        <v>41</v>
      </c>
      <c r="M325" s="1">
        <v>258.92</v>
      </c>
      <c r="N325" s="1">
        <v>405.58</v>
      </c>
      <c r="O325" s="1" t="s">
        <v>52</v>
      </c>
      <c r="P325" s="1">
        <v>29.7</v>
      </c>
    </row>
    <row r="326" spans="1:16" ht="13" x14ac:dyDescent="0.3">
      <c r="A326" s="1" t="s">
        <v>391</v>
      </c>
      <c r="B326" s="2">
        <v>44605</v>
      </c>
      <c r="C326" s="1">
        <v>2021</v>
      </c>
      <c r="D326" s="1" t="s">
        <v>25</v>
      </c>
      <c r="E326" s="1" t="s">
        <v>87</v>
      </c>
      <c r="F326" s="1" t="s">
        <v>38</v>
      </c>
      <c r="G326" s="1" t="s">
        <v>64</v>
      </c>
      <c r="H326" s="1">
        <v>9.66</v>
      </c>
      <c r="I326" s="1">
        <v>12.81</v>
      </c>
      <c r="J326" s="1">
        <v>1325.61</v>
      </c>
      <c r="K326" s="1" t="s">
        <v>34</v>
      </c>
      <c r="L326" s="1" t="s">
        <v>29</v>
      </c>
      <c r="M326" s="1">
        <v>189.52</v>
      </c>
      <c r="N326" s="1">
        <v>774.96</v>
      </c>
      <c r="O326" s="1" t="s">
        <v>42</v>
      </c>
      <c r="P326" s="1">
        <v>33.659999999999997</v>
      </c>
    </row>
    <row r="327" spans="1:16" ht="13" x14ac:dyDescent="0.3">
      <c r="A327" s="1" t="s">
        <v>392</v>
      </c>
      <c r="B327" s="2">
        <v>42693</v>
      </c>
      <c r="C327" s="1">
        <v>2016</v>
      </c>
      <c r="D327" s="1" t="s">
        <v>36</v>
      </c>
      <c r="E327" s="1" t="s">
        <v>77</v>
      </c>
      <c r="F327" s="1" t="s">
        <v>38</v>
      </c>
      <c r="G327" s="1" t="s">
        <v>20</v>
      </c>
      <c r="H327" s="1">
        <v>2.67</v>
      </c>
      <c r="I327" s="1">
        <v>13.46</v>
      </c>
      <c r="J327" s="1">
        <v>5039.79</v>
      </c>
      <c r="K327" s="1" t="s">
        <v>21</v>
      </c>
      <c r="L327" s="1" t="s">
        <v>49</v>
      </c>
      <c r="M327" s="1">
        <v>210.36</v>
      </c>
      <c r="N327" s="1">
        <v>818.35</v>
      </c>
      <c r="O327" s="1" t="s">
        <v>61</v>
      </c>
      <c r="P327" s="1">
        <v>20.68</v>
      </c>
    </row>
    <row r="328" spans="1:16" ht="13" x14ac:dyDescent="0.3">
      <c r="A328" s="1" t="s">
        <v>393</v>
      </c>
      <c r="B328" s="2">
        <v>41764</v>
      </c>
      <c r="C328" s="1">
        <v>2014</v>
      </c>
      <c r="D328" s="1" t="s">
        <v>59</v>
      </c>
      <c r="E328" s="1" t="s">
        <v>60</v>
      </c>
      <c r="F328" s="1" t="s">
        <v>19</v>
      </c>
      <c r="G328" s="1" t="s">
        <v>20</v>
      </c>
      <c r="H328" s="1">
        <v>61.05</v>
      </c>
      <c r="I328" s="1">
        <v>164.17</v>
      </c>
      <c r="J328" s="1">
        <v>2689.1</v>
      </c>
      <c r="K328" s="1" t="s">
        <v>28</v>
      </c>
      <c r="L328" s="1" t="s">
        <v>41</v>
      </c>
      <c r="M328" s="1">
        <v>145.35</v>
      </c>
      <c r="N328" s="1">
        <v>1022.12</v>
      </c>
      <c r="O328" s="1" t="s">
        <v>23</v>
      </c>
      <c r="P328" s="1">
        <v>27.11</v>
      </c>
    </row>
    <row r="329" spans="1:16" ht="13" x14ac:dyDescent="0.3">
      <c r="A329" s="1" t="s">
        <v>394</v>
      </c>
      <c r="B329" s="2">
        <v>42463</v>
      </c>
      <c r="C329" s="1">
        <v>2016</v>
      </c>
      <c r="D329" s="1" t="s">
        <v>103</v>
      </c>
      <c r="E329" s="1" t="s">
        <v>228</v>
      </c>
      <c r="F329" s="1" t="s">
        <v>19</v>
      </c>
      <c r="G329" s="1" t="s">
        <v>20</v>
      </c>
      <c r="H329" s="1">
        <v>96.05</v>
      </c>
      <c r="I329" s="1">
        <v>179.08</v>
      </c>
      <c r="J329" s="1">
        <v>1864.45</v>
      </c>
      <c r="K329" s="1" t="s">
        <v>34</v>
      </c>
      <c r="L329" s="1" t="s">
        <v>22</v>
      </c>
      <c r="M329" s="1">
        <v>289.35000000000002</v>
      </c>
      <c r="N329" s="1">
        <v>211.15</v>
      </c>
      <c r="O329" s="1" t="s">
        <v>61</v>
      </c>
      <c r="P329" s="1">
        <v>22.12</v>
      </c>
    </row>
    <row r="330" spans="1:16" ht="13" x14ac:dyDescent="0.3">
      <c r="A330" s="1" t="s">
        <v>395</v>
      </c>
      <c r="B330" s="2">
        <v>42472</v>
      </c>
      <c r="C330" s="1">
        <v>2016</v>
      </c>
      <c r="D330" s="1" t="s">
        <v>59</v>
      </c>
      <c r="E330" s="1" t="s">
        <v>93</v>
      </c>
      <c r="F330" s="1" t="s">
        <v>19</v>
      </c>
      <c r="G330" s="1" t="s">
        <v>27</v>
      </c>
      <c r="H330" s="1">
        <v>94.75</v>
      </c>
      <c r="I330" s="1">
        <v>267.97000000000003</v>
      </c>
      <c r="J330" s="1">
        <v>2828.15</v>
      </c>
      <c r="K330" s="1" t="s">
        <v>34</v>
      </c>
      <c r="L330" s="1" t="s">
        <v>41</v>
      </c>
      <c r="M330" s="1">
        <v>102.93</v>
      </c>
      <c r="N330" s="1">
        <v>1105.6300000000001</v>
      </c>
      <c r="O330" s="1" t="s">
        <v>61</v>
      </c>
      <c r="P330" s="1">
        <v>22.14</v>
      </c>
    </row>
    <row r="331" spans="1:16" ht="13" x14ac:dyDescent="0.3">
      <c r="A331" s="1" t="s">
        <v>396</v>
      </c>
      <c r="B331" s="2">
        <v>41566</v>
      </c>
      <c r="C331" s="1">
        <v>2013</v>
      </c>
      <c r="D331" s="1" t="s">
        <v>59</v>
      </c>
      <c r="E331" s="1" t="s">
        <v>63</v>
      </c>
      <c r="F331" s="1" t="s">
        <v>33</v>
      </c>
      <c r="G331" s="1" t="s">
        <v>56</v>
      </c>
      <c r="H331" s="1">
        <v>67.430000000000007</v>
      </c>
      <c r="I331" s="1">
        <v>296.95</v>
      </c>
      <c r="J331" s="1">
        <v>4403.76</v>
      </c>
      <c r="K331" s="1" t="s">
        <v>21</v>
      </c>
      <c r="L331" s="1" t="s">
        <v>22</v>
      </c>
      <c r="M331" s="1">
        <v>262.85000000000002</v>
      </c>
      <c r="N331" s="1">
        <v>1132.3699999999999</v>
      </c>
      <c r="O331" s="1" t="s">
        <v>61</v>
      </c>
      <c r="P331" s="1">
        <v>26.92</v>
      </c>
    </row>
    <row r="332" spans="1:16" ht="13" x14ac:dyDescent="0.3">
      <c r="A332" s="1" t="s">
        <v>397</v>
      </c>
      <c r="B332" s="2">
        <v>40865</v>
      </c>
      <c r="C332" s="1">
        <v>2011</v>
      </c>
      <c r="D332" s="1" t="s">
        <v>31</v>
      </c>
      <c r="E332" s="1" t="s">
        <v>117</v>
      </c>
      <c r="F332" s="1" t="s">
        <v>38</v>
      </c>
      <c r="G332" s="1" t="s">
        <v>64</v>
      </c>
      <c r="H332" s="1">
        <v>20.54</v>
      </c>
      <c r="I332" s="1">
        <v>92.09</v>
      </c>
      <c r="J332" s="1">
        <v>4483.57</v>
      </c>
      <c r="K332" s="1" t="s">
        <v>34</v>
      </c>
      <c r="L332" s="1" t="s">
        <v>41</v>
      </c>
      <c r="M332" s="1">
        <v>139.28</v>
      </c>
      <c r="N332" s="1">
        <v>871.3</v>
      </c>
      <c r="O332" s="1" t="s">
        <v>42</v>
      </c>
      <c r="P332" s="1">
        <v>21.5</v>
      </c>
    </row>
    <row r="333" spans="1:16" ht="13" x14ac:dyDescent="0.3">
      <c r="A333" s="1" t="s">
        <v>398</v>
      </c>
      <c r="B333" s="2">
        <v>43083</v>
      </c>
      <c r="C333" s="1">
        <v>2017</v>
      </c>
      <c r="D333" s="1" t="s">
        <v>31</v>
      </c>
      <c r="E333" s="1" t="s">
        <v>32</v>
      </c>
      <c r="F333" s="1" t="s">
        <v>38</v>
      </c>
      <c r="G333" s="1" t="s">
        <v>27</v>
      </c>
      <c r="H333" s="1">
        <v>66.28</v>
      </c>
      <c r="I333" s="1">
        <v>342.05</v>
      </c>
      <c r="J333" s="1">
        <v>5160.75</v>
      </c>
      <c r="K333" s="1" t="s">
        <v>40</v>
      </c>
      <c r="L333" s="1" t="s">
        <v>22</v>
      </c>
      <c r="M333" s="1">
        <v>191.39</v>
      </c>
      <c r="N333" s="1">
        <v>564.49</v>
      </c>
      <c r="O333" s="1" t="s">
        <v>70</v>
      </c>
      <c r="P333" s="1">
        <v>34.380000000000003</v>
      </c>
    </row>
    <row r="334" spans="1:16" ht="13" x14ac:dyDescent="0.3">
      <c r="A334" s="1" t="s">
        <v>399</v>
      </c>
      <c r="B334" s="2">
        <v>44804</v>
      </c>
      <c r="C334" s="1">
        <v>2022</v>
      </c>
      <c r="D334" s="1" t="s">
        <v>31</v>
      </c>
      <c r="E334" s="1" t="s">
        <v>82</v>
      </c>
      <c r="F334" s="1" t="s">
        <v>33</v>
      </c>
      <c r="G334" s="1" t="s">
        <v>39</v>
      </c>
      <c r="H334" s="1">
        <v>74.239999999999995</v>
      </c>
      <c r="I334" s="1">
        <v>268.51</v>
      </c>
      <c r="J334" s="1">
        <v>3616.74</v>
      </c>
      <c r="K334" s="1" t="s">
        <v>34</v>
      </c>
      <c r="L334" s="1" t="s">
        <v>49</v>
      </c>
      <c r="M334" s="1">
        <v>83.58</v>
      </c>
      <c r="N334" s="1">
        <v>932.97</v>
      </c>
      <c r="O334" s="1" t="s">
        <v>52</v>
      </c>
      <c r="P334" s="1">
        <v>26.94</v>
      </c>
    </row>
    <row r="335" spans="1:16" ht="13" x14ac:dyDescent="0.3">
      <c r="A335" s="1" t="s">
        <v>400</v>
      </c>
      <c r="B335" s="2">
        <v>40699</v>
      </c>
      <c r="C335" s="1">
        <v>2011</v>
      </c>
      <c r="D335" s="1" t="s">
        <v>36</v>
      </c>
      <c r="E335" s="1" t="s">
        <v>77</v>
      </c>
      <c r="F335" s="1" t="s">
        <v>33</v>
      </c>
      <c r="G335" s="1" t="s">
        <v>39</v>
      </c>
      <c r="H335" s="1">
        <v>61.06</v>
      </c>
      <c r="I335" s="1">
        <v>369.46</v>
      </c>
      <c r="J335" s="1">
        <v>6050.76</v>
      </c>
      <c r="K335" s="1" t="s">
        <v>40</v>
      </c>
      <c r="L335" s="1" t="s">
        <v>47</v>
      </c>
      <c r="M335" s="1">
        <v>272.82</v>
      </c>
      <c r="N335" s="1">
        <v>396.43</v>
      </c>
      <c r="O335" s="1" t="s">
        <v>23</v>
      </c>
      <c r="P335" s="1">
        <v>30.91</v>
      </c>
    </row>
    <row r="336" spans="1:16" ht="13" x14ac:dyDescent="0.3">
      <c r="A336" s="1" t="s">
        <v>401</v>
      </c>
      <c r="B336" s="2">
        <v>43605</v>
      </c>
      <c r="C336" s="1">
        <v>2019</v>
      </c>
      <c r="D336" s="1" t="s">
        <v>17</v>
      </c>
      <c r="E336" s="1" t="s">
        <v>18</v>
      </c>
      <c r="F336" s="1" t="s">
        <v>19</v>
      </c>
      <c r="G336" s="1" t="s">
        <v>46</v>
      </c>
      <c r="H336" s="1">
        <v>77.150000000000006</v>
      </c>
      <c r="I336" s="1">
        <v>175.64</v>
      </c>
      <c r="J336" s="1">
        <v>2276.56</v>
      </c>
      <c r="K336" s="1" t="s">
        <v>21</v>
      </c>
      <c r="L336" s="1" t="s">
        <v>41</v>
      </c>
      <c r="M336" s="1">
        <v>187.9</v>
      </c>
      <c r="N336" s="1">
        <v>743.47</v>
      </c>
      <c r="O336" s="1" t="s">
        <v>61</v>
      </c>
      <c r="P336" s="1">
        <v>27.08</v>
      </c>
    </row>
    <row r="337" spans="1:16" ht="13" x14ac:dyDescent="0.3">
      <c r="A337" s="1" t="s">
        <v>402</v>
      </c>
      <c r="B337" s="2">
        <v>41416</v>
      </c>
      <c r="C337" s="1">
        <v>2013</v>
      </c>
      <c r="D337" s="1" t="s">
        <v>31</v>
      </c>
      <c r="E337" s="1" t="s">
        <v>32</v>
      </c>
      <c r="F337" s="1" t="s">
        <v>19</v>
      </c>
      <c r="G337" s="1" t="s">
        <v>39</v>
      </c>
      <c r="H337" s="1">
        <v>85.86</v>
      </c>
      <c r="I337" s="1">
        <v>154.83000000000001</v>
      </c>
      <c r="J337" s="1">
        <v>1803.29</v>
      </c>
      <c r="K337" s="1" t="s">
        <v>21</v>
      </c>
      <c r="L337" s="1" t="s">
        <v>47</v>
      </c>
      <c r="M337" s="1">
        <v>149.19999999999999</v>
      </c>
      <c r="N337" s="1">
        <v>702.17</v>
      </c>
      <c r="O337" s="1" t="s">
        <v>42</v>
      </c>
      <c r="P337" s="1">
        <v>32.72</v>
      </c>
    </row>
    <row r="338" spans="1:16" ht="13" x14ac:dyDescent="0.3">
      <c r="A338" s="1" t="s">
        <v>403</v>
      </c>
      <c r="B338" s="2">
        <v>44700</v>
      </c>
      <c r="C338" s="1">
        <v>2022</v>
      </c>
      <c r="D338" s="1" t="s">
        <v>17</v>
      </c>
      <c r="E338" s="1" t="s">
        <v>18</v>
      </c>
      <c r="F338" s="1" t="s">
        <v>19</v>
      </c>
      <c r="G338" s="1" t="s">
        <v>56</v>
      </c>
      <c r="H338" s="1">
        <v>45.18</v>
      </c>
      <c r="I338" s="1">
        <v>93.74</v>
      </c>
      <c r="J338" s="1">
        <v>2074.87</v>
      </c>
      <c r="K338" s="1" t="s">
        <v>40</v>
      </c>
      <c r="L338" s="1" t="s">
        <v>29</v>
      </c>
      <c r="M338" s="1">
        <v>233.98</v>
      </c>
      <c r="N338" s="1">
        <v>683.5</v>
      </c>
      <c r="O338" s="1" t="s">
        <v>70</v>
      </c>
      <c r="P338" s="1">
        <v>20.61</v>
      </c>
    </row>
    <row r="339" spans="1:16" ht="13" x14ac:dyDescent="0.3">
      <c r="A339" s="1" t="s">
        <v>404</v>
      </c>
      <c r="B339" s="2">
        <v>42026</v>
      </c>
      <c r="C339" s="1">
        <v>2014</v>
      </c>
      <c r="D339" s="1" t="s">
        <v>103</v>
      </c>
      <c r="E339" s="1" t="s">
        <v>104</v>
      </c>
      <c r="F339" s="1" t="s">
        <v>38</v>
      </c>
      <c r="G339" s="1" t="s">
        <v>56</v>
      </c>
      <c r="H339" s="1">
        <v>5.24</v>
      </c>
      <c r="I339" s="1">
        <v>11.74</v>
      </c>
      <c r="J339" s="1">
        <v>2240.64</v>
      </c>
      <c r="K339" s="1" t="s">
        <v>34</v>
      </c>
      <c r="L339" s="1" t="s">
        <v>22</v>
      </c>
      <c r="M339" s="1">
        <v>147.02000000000001</v>
      </c>
      <c r="N339" s="1">
        <v>1117.9000000000001</v>
      </c>
      <c r="O339" s="1" t="s">
        <v>23</v>
      </c>
      <c r="P339" s="1">
        <v>20.6</v>
      </c>
    </row>
    <row r="340" spans="1:16" ht="13" x14ac:dyDescent="0.3">
      <c r="A340" s="1" t="s">
        <v>405</v>
      </c>
      <c r="B340" s="2">
        <v>44155</v>
      </c>
      <c r="C340" s="1">
        <v>2020</v>
      </c>
      <c r="D340" s="1" t="s">
        <v>17</v>
      </c>
      <c r="E340" s="1" t="s">
        <v>54</v>
      </c>
      <c r="F340" s="1" t="s">
        <v>38</v>
      </c>
      <c r="G340" s="1" t="s">
        <v>39</v>
      </c>
      <c r="H340" s="1">
        <v>27.07</v>
      </c>
      <c r="I340" s="1">
        <v>115.48</v>
      </c>
      <c r="J340" s="1">
        <v>4266.1000000000004</v>
      </c>
      <c r="K340" s="1" t="s">
        <v>40</v>
      </c>
      <c r="L340" s="1" t="s">
        <v>47</v>
      </c>
      <c r="M340" s="1">
        <v>144.16</v>
      </c>
      <c r="N340" s="1">
        <v>578.52</v>
      </c>
      <c r="O340" s="1" t="s">
        <v>61</v>
      </c>
      <c r="P340" s="1">
        <v>29.8</v>
      </c>
    </row>
    <row r="341" spans="1:16" ht="13" x14ac:dyDescent="0.3">
      <c r="A341" s="1" t="s">
        <v>406</v>
      </c>
      <c r="B341" s="2">
        <v>41373</v>
      </c>
      <c r="C341" s="1">
        <v>2013</v>
      </c>
      <c r="D341" s="1" t="s">
        <v>31</v>
      </c>
      <c r="E341" s="1" t="s">
        <v>32</v>
      </c>
      <c r="F341" s="1" t="s">
        <v>19</v>
      </c>
      <c r="G341" s="1" t="s">
        <v>46</v>
      </c>
      <c r="H341" s="1">
        <v>35.94</v>
      </c>
      <c r="I341" s="1">
        <v>223.06</v>
      </c>
      <c r="J341" s="1">
        <v>6206.32</v>
      </c>
      <c r="K341" s="1" t="s">
        <v>28</v>
      </c>
      <c r="L341" s="1" t="s">
        <v>29</v>
      </c>
      <c r="M341" s="1">
        <v>248.16</v>
      </c>
      <c r="N341" s="1">
        <v>1087.17</v>
      </c>
      <c r="O341" s="1" t="s">
        <v>23</v>
      </c>
      <c r="P341" s="1">
        <v>27.53</v>
      </c>
    </row>
    <row r="342" spans="1:16" ht="13" x14ac:dyDescent="0.3">
      <c r="A342" s="1" t="s">
        <v>407</v>
      </c>
      <c r="B342" s="2">
        <v>40660</v>
      </c>
      <c r="C342" s="1">
        <v>2011</v>
      </c>
      <c r="D342" s="1" t="s">
        <v>103</v>
      </c>
      <c r="E342" s="1" t="s">
        <v>104</v>
      </c>
      <c r="F342" s="1" t="s">
        <v>19</v>
      </c>
      <c r="G342" s="1" t="s">
        <v>39</v>
      </c>
      <c r="H342" s="1">
        <v>28.8</v>
      </c>
      <c r="I342" s="1">
        <v>54.76</v>
      </c>
      <c r="J342" s="1">
        <v>1901.44</v>
      </c>
      <c r="K342" s="1" t="s">
        <v>40</v>
      </c>
      <c r="L342" s="1" t="s">
        <v>49</v>
      </c>
      <c r="M342" s="1">
        <v>140.56</v>
      </c>
      <c r="N342" s="1">
        <v>917.3</v>
      </c>
      <c r="O342" s="1" t="s">
        <v>23</v>
      </c>
      <c r="P342" s="1">
        <v>29.92</v>
      </c>
    </row>
    <row r="343" spans="1:16" ht="13" x14ac:dyDescent="0.3">
      <c r="A343" s="1" t="s">
        <v>408</v>
      </c>
      <c r="B343" s="2">
        <v>42834</v>
      </c>
      <c r="C343" s="1">
        <v>2017</v>
      </c>
      <c r="D343" s="1" t="s">
        <v>17</v>
      </c>
      <c r="E343" s="1" t="s">
        <v>18</v>
      </c>
      <c r="F343" s="1" t="s">
        <v>19</v>
      </c>
      <c r="G343" s="1" t="s">
        <v>46</v>
      </c>
      <c r="H343" s="1">
        <v>48.42</v>
      </c>
      <c r="I343" s="1">
        <v>220.06</v>
      </c>
      <c r="J343" s="1">
        <v>4544.75</v>
      </c>
      <c r="K343" s="1" t="s">
        <v>28</v>
      </c>
      <c r="L343" s="1" t="s">
        <v>47</v>
      </c>
      <c r="M343" s="1">
        <v>55.61</v>
      </c>
      <c r="N343" s="1">
        <v>243.14</v>
      </c>
      <c r="O343" s="1" t="s">
        <v>61</v>
      </c>
      <c r="P343" s="1">
        <v>28.89</v>
      </c>
    </row>
    <row r="344" spans="1:16" ht="13" x14ac:dyDescent="0.3">
      <c r="A344" s="1" t="s">
        <v>409</v>
      </c>
      <c r="B344" s="2">
        <v>41133</v>
      </c>
      <c r="C344" s="1">
        <v>2012</v>
      </c>
      <c r="D344" s="1" t="s">
        <v>25</v>
      </c>
      <c r="E344" s="1" t="s">
        <v>69</v>
      </c>
      <c r="F344" s="1" t="s">
        <v>33</v>
      </c>
      <c r="G344" s="1" t="s">
        <v>56</v>
      </c>
      <c r="H344" s="1">
        <v>26.57</v>
      </c>
      <c r="I344" s="1">
        <v>55.27</v>
      </c>
      <c r="J344" s="1">
        <v>2080.23</v>
      </c>
      <c r="K344" s="1" t="s">
        <v>28</v>
      </c>
      <c r="L344" s="1" t="s">
        <v>22</v>
      </c>
      <c r="M344" s="1">
        <v>199.84</v>
      </c>
      <c r="N344" s="1">
        <v>763.6</v>
      </c>
      <c r="O344" s="1" t="s">
        <v>23</v>
      </c>
      <c r="P344" s="1">
        <v>33.18</v>
      </c>
    </row>
    <row r="345" spans="1:16" ht="13" x14ac:dyDescent="0.3">
      <c r="A345" s="1" t="s">
        <v>410</v>
      </c>
      <c r="B345" s="2">
        <v>43900</v>
      </c>
      <c r="C345" s="1">
        <v>2019</v>
      </c>
      <c r="D345" s="1" t="s">
        <v>103</v>
      </c>
      <c r="E345" s="1" t="s">
        <v>107</v>
      </c>
      <c r="F345" s="1" t="s">
        <v>38</v>
      </c>
      <c r="G345" s="1" t="s">
        <v>46</v>
      </c>
      <c r="H345" s="1">
        <v>17.89</v>
      </c>
      <c r="I345" s="1">
        <v>107.02</v>
      </c>
      <c r="J345" s="1">
        <v>5982.18</v>
      </c>
      <c r="K345" s="1" t="s">
        <v>40</v>
      </c>
      <c r="L345" s="1" t="s">
        <v>49</v>
      </c>
      <c r="M345" s="1">
        <v>248.65</v>
      </c>
      <c r="N345" s="1">
        <v>1020.45</v>
      </c>
      <c r="O345" s="1" t="s">
        <v>42</v>
      </c>
      <c r="P345" s="1">
        <v>29.35</v>
      </c>
    </row>
    <row r="346" spans="1:16" ht="13" x14ac:dyDescent="0.3">
      <c r="A346" s="1" t="s">
        <v>411</v>
      </c>
      <c r="B346" s="2">
        <v>44265</v>
      </c>
      <c r="C346" s="1">
        <v>2020</v>
      </c>
      <c r="D346" s="1" t="s">
        <v>103</v>
      </c>
      <c r="E346" s="1" t="s">
        <v>228</v>
      </c>
      <c r="F346" s="1" t="s">
        <v>38</v>
      </c>
      <c r="G346" s="1" t="s">
        <v>46</v>
      </c>
      <c r="H346" s="1">
        <v>60.06</v>
      </c>
      <c r="I346" s="1">
        <v>84.87</v>
      </c>
      <c r="J346" s="1">
        <v>1413.06</v>
      </c>
      <c r="K346" s="1" t="s">
        <v>28</v>
      </c>
      <c r="L346" s="1" t="s">
        <v>29</v>
      </c>
      <c r="M346" s="1">
        <v>146.37</v>
      </c>
      <c r="N346" s="1">
        <v>308.57</v>
      </c>
      <c r="O346" s="1" t="s">
        <v>42</v>
      </c>
      <c r="P346" s="1">
        <v>27.84</v>
      </c>
    </row>
    <row r="347" spans="1:16" ht="13" x14ac:dyDescent="0.3">
      <c r="A347" s="1" t="s">
        <v>412</v>
      </c>
      <c r="B347" s="2">
        <v>43650</v>
      </c>
      <c r="C347" s="1">
        <v>2019</v>
      </c>
      <c r="D347" s="1" t="s">
        <v>44</v>
      </c>
      <c r="E347" s="1" t="s">
        <v>45</v>
      </c>
      <c r="F347" s="1" t="s">
        <v>33</v>
      </c>
      <c r="G347" s="1" t="s">
        <v>56</v>
      </c>
      <c r="H347" s="1">
        <v>48.11</v>
      </c>
      <c r="I347" s="1">
        <v>225.56</v>
      </c>
      <c r="J347" s="1">
        <v>4688.49</v>
      </c>
      <c r="K347" s="1" t="s">
        <v>21</v>
      </c>
      <c r="L347" s="1" t="s">
        <v>47</v>
      </c>
      <c r="M347" s="1">
        <v>269.44</v>
      </c>
      <c r="N347" s="1">
        <v>731.43</v>
      </c>
      <c r="O347" s="1" t="s">
        <v>23</v>
      </c>
      <c r="P347" s="1">
        <v>21.4</v>
      </c>
    </row>
    <row r="348" spans="1:16" ht="13" x14ac:dyDescent="0.3">
      <c r="A348" s="1" t="s">
        <v>413</v>
      </c>
      <c r="B348" s="2">
        <v>44676</v>
      </c>
      <c r="C348" s="1">
        <v>2022</v>
      </c>
      <c r="D348" s="1" t="s">
        <v>59</v>
      </c>
      <c r="E348" s="1" t="s">
        <v>60</v>
      </c>
      <c r="F348" s="1" t="s">
        <v>19</v>
      </c>
      <c r="G348" s="1" t="s">
        <v>39</v>
      </c>
      <c r="H348" s="1">
        <v>43.72</v>
      </c>
      <c r="I348" s="1">
        <v>154.07</v>
      </c>
      <c r="J348" s="1">
        <v>3524.1</v>
      </c>
      <c r="K348" s="1" t="s">
        <v>21</v>
      </c>
      <c r="L348" s="1" t="s">
        <v>49</v>
      </c>
      <c r="M348" s="1">
        <v>224.41</v>
      </c>
      <c r="N348" s="1">
        <v>628.96</v>
      </c>
      <c r="O348" s="1" t="s">
        <v>52</v>
      </c>
      <c r="P348" s="1">
        <v>31.84</v>
      </c>
    </row>
    <row r="349" spans="1:16" ht="13" x14ac:dyDescent="0.3">
      <c r="A349" s="1" t="s">
        <v>414</v>
      </c>
      <c r="B349" s="2">
        <v>44708</v>
      </c>
      <c r="C349" s="1">
        <v>2022</v>
      </c>
      <c r="D349" s="1" t="s">
        <v>59</v>
      </c>
      <c r="E349" s="1" t="s">
        <v>93</v>
      </c>
      <c r="F349" s="1" t="s">
        <v>19</v>
      </c>
      <c r="G349" s="1" t="s">
        <v>27</v>
      </c>
      <c r="H349" s="1">
        <v>10.67</v>
      </c>
      <c r="I349" s="1">
        <v>19.239999999999998</v>
      </c>
      <c r="J349" s="1">
        <v>1803.3</v>
      </c>
      <c r="K349" s="1" t="s">
        <v>28</v>
      </c>
      <c r="L349" s="1" t="s">
        <v>47</v>
      </c>
      <c r="M349" s="1">
        <v>241.46</v>
      </c>
      <c r="N349" s="1">
        <v>1110.0899999999999</v>
      </c>
      <c r="O349" s="1" t="s">
        <v>23</v>
      </c>
      <c r="P349" s="1">
        <v>24.25</v>
      </c>
    </row>
    <row r="350" spans="1:16" ht="13" x14ac:dyDescent="0.3">
      <c r="A350" s="1" t="s">
        <v>415</v>
      </c>
      <c r="B350" s="2">
        <v>41506</v>
      </c>
      <c r="C350" s="1">
        <v>2013</v>
      </c>
      <c r="D350" s="1" t="s">
        <v>36</v>
      </c>
      <c r="E350" s="1" t="s">
        <v>51</v>
      </c>
      <c r="F350" s="1" t="s">
        <v>33</v>
      </c>
      <c r="G350" s="1" t="s">
        <v>39</v>
      </c>
      <c r="H350" s="1">
        <v>74.62</v>
      </c>
      <c r="I350" s="1">
        <v>77.8</v>
      </c>
      <c r="J350" s="1">
        <v>1042.68</v>
      </c>
      <c r="K350" s="1" t="s">
        <v>21</v>
      </c>
      <c r="L350" s="1" t="s">
        <v>29</v>
      </c>
      <c r="M350" s="1">
        <v>179.94</v>
      </c>
      <c r="N350" s="1">
        <v>575.03</v>
      </c>
      <c r="O350" s="1" t="s">
        <v>42</v>
      </c>
      <c r="P350" s="1">
        <v>30.32</v>
      </c>
    </row>
    <row r="351" spans="1:16" ht="13" x14ac:dyDescent="0.3">
      <c r="A351" s="1" t="s">
        <v>416</v>
      </c>
      <c r="B351" s="2">
        <v>41319</v>
      </c>
      <c r="C351" s="1">
        <v>2012</v>
      </c>
      <c r="D351" s="1" t="s">
        <v>31</v>
      </c>
      <c r="E351" s="1" t="s">
        <v>82</v>
      </c>
      <c r="F351" s="1" t="s">
        <v>38</v>
      </c>
      <c r="G351" s="1" t="s">
        <v>39</v>
      </c>
      <c r="H351" s="1">
        <v>58.95</v>
      </c>
      <c r="I351" s="1">
        <v>151.37</v>
      </c>
      <c r="J351" s="1">
        <v>2567.8200000000002</v>
      </c>
      <c r="K351" s="1" t="s">
        <v>28</v>
      </c>
      <c r="L351" s="1" t="s">
        <v>47</v>
      </c>
      <c r="M351" s="1">
        <v>191.17</v>
      </c>
      <c r="N351" s="1">
        <v>811.88</v>
      </c>
      <c r="O351" s="1" t="s">
        <v>52</v>
      </c>
      <c r="P351" s="1">
        <v>31.32</v>
      </c>
    </row>
    <row r="352" spans="1:16" ht="13" x14ac:dyDescent="0.3">
      <c r="A352" s="1" t="s">
        <v>417</v>
      </c>
      <c r="B352" s="2">
        <v>42917</v>
      </c>
      <c r="C352" s="1">
        <v>2017</v>
      </c>
      <c r="D352" s="1" t="s">
        <v>44</v>
      </c>
      <c r="E352" s="1" t="s">
        <v>67</v>
      </c>
      <c r="F352" s="1" t="s">
        <v>33</v>
      </c>
      <c r="G352" s="1" t="s">
        <v>20</v>
      </c>
      <c r="H352" s="1">
        <v>56.35</v>
      </c>
      <c r="I352" s="1">
        <v>219.91</v>
      </c>
      <c r="J352" s="1">
        <v>3902.56</v>
      </c>
      <c r="K352" s="1" t="s">
        <v>34</v>
      </c>
      <c r="L352" s="1" t="s">
        <v>41</v>
      </c>
      <c r="M352" s="1">
        <v>194.41</v>
      </c>
      <c r="N352" s="1">
        <v>974.19</v>
      </c>
      <c r="O352" s="1" t="s">
        <v>52</v>
      </c>
      <c r="P352" s="1">
        <v>31.04</v>
      </c>
    </row>
    <row r="353" spans="1:16" ht="13" x14ac:dyDescent="0.3">
      <c r="A353" s="1" t="s">
        <v>418</v>
      </c>
      <c r="B353" s="2">
        <v>41098</v>
      </c>
      <c r="C353" s="1">
        <v>2012</v>
      </c>
      <c r="D353" s="1" t="s">
        <v>36</v>
      </c>
      <c r="E353" s="1" t="s">
        <v>77</v>
      </c>
      <c r="F353" s="1" t="s">
        <v>33</v>
      </c>
      <c r="G353" s="1" t="s">
        <v>56</v>
      </c>
      <c r="H353" s="1">
        <v>51.33</v>
      </c>
      <c r="I353" s="1">
        <v>293.43</v>
      </c>
      <c r="J353" s="1">
        <v>5716.49</v>
      </c>
      <c r="K353" s="1" t="s">
        <v>21</v>
      </c>
      <c r="L353" s="1" t="s">
        <v>29</v>
      </c>
      <c r="M353" s="1">
        <v>90.18</v>
      </c>
      <c r="N353" s="1">
        <v>1164.57</v>
      </c>
      <c r="O353" s="1" t="s">
        <v>23</v>
      </c>
      <c r="P353" s="1">
        <v>32.07</v>
      </c>
    </row>
    <row r="354" spans="1:16" ht="13" x14ac:dyDescent="0.3">
      <c r="A354" s="1" t="s">
        <v>419</v>
      </c>
      <c r="B354" s="2">
        <v>40828</v>
      </c>
      <c r="C354" s="1">
        <v>2011</v>
      </c>
      <c r="D354" s="1" t="s">
        <v>59</v>
      </c>
      <c r="E354" s="1" t="s">
        <v>63</v>
      </c>
      <c r="F354" s="1" t="s">
        <v>33</v>
      </c>
      <c r="G354" s="1" t="s">
        <v>20</v>
      </c>
      <c r="H354" s="1">
        <v>22.96</v>
      </c>
      <c r="I354" s="1">
        <v>33.99</v>
      </c>
      <c r="J354" s="1">
        <v>1480.24</v>
      </c>
      <c r="K354" s="1" t="s">
        <v>21</v>
      </c>
      <c r="L354" s="1" t="s">
        <v>49</v>
      </c>
      <c r="M354" s="1">
        <v>231.12</v>
      </c>
      <c r="N354" s="1">
        <v>1130.68</v>
      </c>
      <c r="O354" s="1" t="s">
        <v>52</v>
      </c>
      <c r="P354" s="1">
        <v>29.21</v>
      </c>
    </row>
    <row r="355" spans="1:16" ht="13" x14ac:dyDescent="0.3">
      <c r="A355" s="1" t="s">
        <v>420</v>
      </c>
      <c r="B355" s="2">
        <v>40389</v>
      </c>
      <c r="C355" s="1">
        <v>2010</v>
      </c>
      <c r="D355" s="1" t="s">
        <v>17</v>
      </c>
      <c r="E355" s="1" t="s">
        <v>54</v>
      </c>
      <c r="F355" s="1" t="s">
        <v>33</v>
      </c>
      <c r="G355" s="1" t="s">
        <v>39</v>
      </c>
      <c r="H355" s="1">
        <v>49.94</v>
      </c>
      <c r="I355" s="1">
        <v>53.15</v>
      </c>
      <c r="J355" s="1">
        <v>1064.26</v>
      </c>
      <c r="K355" s="1" t="s">
        <v>34</v>
      </c>
      <c r="L355" s="1" t="s">
        <v>47</v>
      </c>
      <c r="M355" s="1">
        <v>98.69</v>
      </c>
      <c r="N355" s="1">
        <v>983.96</v>
      </c>
      <c r="O355" s="1" t="s">
        <v>61</v>
      </c>
      <c r="P355" s="1">
        <v>27.74</v>
      </c>
    </row>
    <row r="356" spans="1:16" ht="13" x14ac:dyDescent="0.3">
      <c r="A356" s="1" t="s">
        <v>421</v>
      </c>
      <c r="B356" s="2">
        <v>40586</v>
      </c>
      <c r="C356" s="1">
        <v>2010</v>
      </c>
      <c r="D356" s="1" t="s">
        <v>103</v>
      </c>
      <c r="E356" s="1" t="s">
        <v>228</v>
      </c>
      <c r="F356" s="1" t="s">
        <v>38</v>
      </c>
      <c r="G356" s="1" t="s">
        <v>56</v>
      </c>
      <c r="H356" s="1">
        <v>65.849999999999994</v>
      </c>
      <c r="I356" s="1">
        <v>451.33</v>
      </c>
      <c r="J356" s="1">
        <v>6853.88</v>
      </c>
      <c r="K356" s="1" t="s">
        <v>21</v>
      </c>
      <c r="L356" s="1" t="s">
        <v>47</v>
      </c>
      <c r="M356" s="1">
        <v>299.2</v>
      </c>
      <c r="N356" s="1">
        <v>979.67</v>
      </c>
      <c r="O356" s="1" t="s">
        <v>70</v>
      </c>
      <c r="P356" s="1">
        <v>30.04</v>
      </c>
    </row>
    <row r="357" spans="1:16" ht="13" x14ac:dyDescent="0.3">
      <c r="A357" s="1" t="s">
        <v>422</v>
      </c>
      <c r="B357" s="2">
        <v>40321</v>
      </c>
      <c r="C357" s="1">
        <v>2010</v>
      </c>
      <c r="D357" s="1" t="s">
        <v>103</v>
      </c>
      <c r="E357" s="1" t="s">
        <v>228</v>
      </c>
      <c r="F357" s="1" t="s">
        <v>19</v>
      </c>
      <c r="G357" s="1" t="s">
        <v>39</v>
      </c>
      <c r="H357" s="1">
        <v>7.79</v>
      </c>
      <c r="I357" s="1">
        <v>12</v>
      </c>
      <c r="J357" s="1">
        <v>1541</v>
      </c>
      <c r="K357" s="1" t="s">
        <v>34</v>
      </c>
      <c r="L357" s="1" t="s">
        <v>49</v>
      </c>
      <c r="M357" s="1">
        <v>231.53</v>
      </c>
      <c r="N357" s="1">
        <v>759.11</v>
      </c>
      <c r="O357" s="1" t="s">
        <v>61</v>
      </c>
      <c r="P357" s="1">
        <v>25.22</v>
      </c>
    </row>
    <row r="358" spans="1:16" ht="13" x14ac:dyDescent="0.3">
      <c r="A358" s="1" t="s">
        <v>423</v>
      </c>
      <c r="B358" s="2">
        <v>41608</v>
      </c>
      <c r="C358" s="1">
        <v>2013</v>
      </c>
      <c r="D358" s="1" t="s">
        <v>103</v>
      </c>
      <c r="E358" s="1" t="s">
        <v>228</v>
      </c>
      <c r="F358" s="1" t="s">
        <v>38</v>
      </c>
      <c r="G358" s="1" t="s">
        <v>46</v>
      </c>
      <c r="H358" s="1">
        <v>57.92</v>
      </c>
      <c r="I358" s="1">
        <v>148.66</v>
      </c>
      <c r="J358" s="1">
        <v>2566.65</v>
      </c>
      <c r="K358" s="1" t="s">
        <v>28</v>
      </c>
      <c r="L358" s="1" t="s">
        <v>47</v>
      </c>
      <c r="M358" s="1">
        <v>176.56</v>
      </c>
      <c r="N358" s="1">
        <v>758.63</v>
      </c>
      <c r="O358" s="1" t="s">
        <v>61</v>
      </c>
      <c r="P358" s="1">
        <v>24.41</v>
      </c>
    </row>
    <row r="359" spans="1:16" ht="13" x14ac:dyDescent="0.3">
      <c r="A359" s="1" t="s">
        <v>424</v>
      </c>
      <c r="B359" s="2">
        <v>44709</v>
      </c>
      <c r="C359" s="1">
        <v>2022</v>
      </c>
      <c r="D359" s="1" t="s">
        <v>31</v>
      </c>
      <c r="E359" s="1" t="s">
        <v>117</v>
      </c>
      <c r="F359" s="1" t="s">
        <v>19</v>
      </c>
      <c r="G359" s="1" t="s">
        <v>20</v>
      </c>
      <c r="H359" s="1">
        <v>69.72</v>
      </c>
      <c r="I359" s="1">
        <v>473.84</v>
      </c>
      <c r="J359" s="1">
        <v>6796.33</v>
      </c>
      <c r="K359" s="1" t="s">
        <v>28</v>
      </c>
      <c r="L359" s="1" t="s">
        <v>47</v>
      </c>
      <c r="M359" s="1">
        <v>242.49</v>
      </c>
      <c r="N359" s="1">
        <v>957.47</v>
      </c>
      <c r="O359" s="1" t="s">
        <v>52</v>
      </c>
      <c r="P359" s="1">
        <v>30.22</v>
      </c>
    </row>
    <row r="360" spans="1:16" ht="13" x14ac:dyDescent="0.3">
      <c r="A360" s="1" t="s">
        <v>425</v>
      </c>
      <c r="B360" s="2">
        <v>42977</v>
      </c>
      <c r="C360" s="1">
        <v>2017</v>
      </c>
      <c r="D360" s="1" t="s">
        <v>44</v>
      </c>
      <c r="E360" s="1" t="s">
        <v>45</v>
      </c>
      <c r="F360" s="1" t="s">
        <v>33</v>
      </c>
      <c r="G360" s="1" t="s">
        <v>20</v>
      </c>
      <c r="H360" s="1">
        <v>7.69</v>
      </c>
      <c r="I360" s="1">
        <v>36.93</v>
      </c>
      <c r="J360" s="1">
        <v>4801.97</v>
      </c>
      <c r="K360" s="1" t="s">
        <v>40</v>
      </c>
      <c r="L360" s="1" t="s">
        <v>47</v>
      </c>
      <c r="M360" s="1">
        <v>219.23</v>
      </c>
      <c r="N360" s="1">
        <v>429.93</v>
      </c>
      <c r="O360" s="1" t="s">
        <v>70</v>
      </c>
      <c r="P360" s="1">
        <v>26.19</v>
      </c>
    </row>
    <row r="361" spans="1:16" ht="13" x14ac:dyDescent="0.3">
      <c r="A361" s="1" t="s">
        <v>426</v>
      </c>
      <c r="B361" s="2">
        <v>44556</v>
      </c>
      <c r="C361" s="1">
        <v>2021</v>
      </c>
      <c r="D361" s="1" t="s">
        <v>59</v>
      </c>
      <c r="E361" s="1" t="s">
        <v>60</v>
      </c>
      <c r="F361" s="1" t="s">
        <v>38</v>
      </c>
      <c r="G361" s="1" t="s">
        <v>56</v>
      </c>
      <c r="H361" s="1">
        <v>29.44</v>
      </c>
      <c r="I361" s="1">
        <v>99.91</v>
      </c>
      <c r="J361" s="1">
        <v>3393.58</v>
      </c>
      <c r="K361" s="1" t="s">
        <v>34</v>
      </c>
      <c r="L361" s="1" t="s">
        <v>47</v>
      </c>
      <c r="M361" s="1">
        <v>69.010000000000005</v>
      </c>
      <c r="N361" s="1">
        <v>1131.4000000000001</v>
      </c>
      <c r="O361" s="1" t="s">
        <v>52</v>
      </c>
      <c r="P361" s="1">
        <v>24.71</v>
      </c>
    </row>
    <row r="362" spans="1:16" ht="13" x14ac:dyDescent="0.3">
      <c r="A362" s="1" t="s">
        <v>427</v>
      </c>
      <c r="B362" s="2">
        <v>44340</v>
      </c>
      <c r="C362" s="1">
        <v>2021</v>
      </c>
      <c r="D362" s="1" t="s">
        <v>31</v>
      </c>
      <c r="E362" s="1" t="s">
        <v>82</v>
      </c>
      <c r="F362" s="1" t="s">
        <v>19</v>
      </c>
      <c r="G362" s="1" t="s">
        <v>56</v>
      </c>
      <c r="H362" s="1">
        <v>50.4</v>
      </c>
      <c r="I362" s="1">
        <v>110.78</v>
      </c>
      <c r="J362" s="1">
        <v>2198</v>
      </c>
      <c r="K362" s="1" t="s">
        <v>40</v>
      </c>
      <c r="L362" s="1" t="s">
        <v>47</v>
      </c>
      <c r="M362" s="1">
        <v>268.19</v>
      </c>
      <c r="N362" s="1">
        <v>406.78</v>
      </c>
      <c r="O362" s="1" t="s">
        <v>42</v>
      </c>
      <c r="P362" s="1">
        <v>32.520000000000003</v>
      </c>
    </row>
    <row r="363" spans="1:16" ht="13" x14ac:dyDescent="0.3">
      <c r="A363" s="1" t="s">
        <v>428</v>
      </c>
      <c r="B363" s="2">
        <v>44836</v>
      </c>
      <c r="C363" s="1">
        <v>2022</v>
      </c>
      <c r="D363" s="1" t="s">
        <v>31</v>
      </c>
      <c r="E363" s="1" t="s">
        <v>82</v>
      </c>
      <c r="F363" s="1" t="s">
        <v>33</v>
      </c>
      <c r="G363" s="1" t="s">
        <v>64</v>
      </c>
      <c r="H363" s="1">
        <v>92.1</v>
      </c>
      <c r="I363" s="1">
        <v>465.55</v>
      </c>
      <c r="J363" s="1">
        <v>5054.87</v>
      </c>
      <c r="K363" s="1" t="s">
        <v>28</v>
      </c>
      <c r="L363" s="1" t="s">
        <v>49</v>
      </c>
      <c r="M363" s="1">
        <v>203.46</v>
      </c>
      <c r="N363" s="1">
        <v>964.24</v>
      </c>
      <c r="O363" s="1" t="s">
        <v>61</v>
      </c>
      <c r="P363" s="1">
        <v>34.369999999999997</v>
      </c>
    </row>
    <row r="364" spans="1:16" ht="13" x14ac:dyDescent="0.3">
      <c r="A364" s="1" t="s">
        <v>429</v>
      </c>
      <c r="B364" s="2">
        <v>42877</v>
      </c>
      <c r="C364" s="1">
        <v>2017</v>
      </c>
      <c r="D364" s="1" t="s">
        <v>59</v>
      </c>
      <c r="E364" s="1" t="s">
        <v>63</v>
      </c>
      <c r="F364" s="1" t="s">
        <v>19</v>
      </c>
      <c r="G364" s="1" t="s">
        <v>20</v>
      </c>
      <c r="H364" s="1">
        <v>49.59</v>
      </c>
      <c r="I364" s="1">
        <v>342.49</v>
      </c>
      <c r="J364" s="1">
        <v>6906.37</v>
      </c>
      <c r="K364" s="1" t="s">
        <v>34</v>
      </c>
      <c r="L364" s="1" t="s">
        <v>29</v>
      </c>
      <c r="M364" s="1">
        <v>149.47</v>
      </c>
      <c r="N364" s="1">
        <v>950.17</v>
      </c>
      <c r="O364" s="1" t="s">
        <v>42</v>
      </c>
      <c r="P364" s="1">
        <v>20.81</v>
      </c>
    </row>
    <row r="365" spans="1:16" ht="13" x14ac:dyDescent="0.3">
      <c r="A365" s="1" t="s">
        <v>430</v>
      </c>
      <c r="B365" s="2">
        <v>40313</v>
      </c>
      <c r="C365" s="1">
        <v>2010</v>
      </c>
      <c r="D365" s="1" t="s">
        <v>36</v>
      </c>
      <c r="E365" s="1" t="s">
        <v>77</v>
      </c>
      <c r="F365" s="1" t="s">
        <v>19</v>
      </c>
      <c r="G365" s="1" t="s">
        <v>20</v>
      </c>
      <c r="H365" s="1">
        <v>39.979999999999997</v>
      </c>
      <c r="I365" s="1">
        <v>204.62</v>
      </c>
      <c r="J365" s="1">
        <v>5118.03</v>
      </c>
      <c r="K365" s="1" t="s">
        <v>40</v>
      </c>
      <c r="L365" s="1" t="s">
        <v>22</v>
      </c>
      <c r="M365" s="1">
        <v>164.3</v>
      </c>
      <c r="N365" s="1">
        <v>320.37</v>
      </c>
      <c r="O365" s="1" t="s">
        <v>61</v>
      </c>
      <c r="P365" s="1">
        <v>26.9</v>
      </c>
    </row>
    <row r="366" spans="1:16" ht="13" x14ac:dyDescent="0.3">
      <c r="A366" s="1" t="s">
        <v>431</v>
      </c>
      <c r="B366" s="2">
        <v>41666</v>
      </c>
      <c r="C366" s="1">
        <v>2013</v>
      </c>
      <c r="D366" s="1" t="s">
        <v>25</v>
      </c>
      <c r="E366" s="1" t="s">
        <v>69</v>
      </c>
      <c r="F366" s="1" t="s">
        <v>38</v>
      </c>
      <c r="G366" s="1" t="s">
        <v>27</v>
      </c>
      <c r="H366" s="1">
        <v>10.97</v>
      </c>
      <c r="I366" s="1">
        <v>34.770000000000003</v>
      </c>
      <c r="J366" s="1">
        <v>3169.61</v>
      </c>
      <c r="K366" s="1" t="s">
        <v>34</v>
      </c>
      <c r="L366" s="1" t="s">
        <v>49</v>
      </c>
      <c r="M366" s="1">
        <v>96.79</v>
      </c>
      <c r="N366" s="1">
        <v>462.85</v>
      </c>
      <c r="O366" s="1" t="s">
        <v>70</v>
      </c>
      <c r="P366" s="1">
        <v>27.07</v>
      </c>
    </row>
    <row r="367" spans="1:16" ht="13" x14ac:dyDescent="0.3">
      <c r="A367" s="1" t="s">
        <v>432</v>
      </c>
      <c r="B367" s="2">
        <v>42580</v>
      </c>
      <c r="C367" s="1">
        <v>2016</v>
      </c>
      <c r="D367" s="1" t="s">
        <v>103</v>
      </c>
      <c r="E367" s="1" t="s">
        <v>107</v>
      </c>
      <c r="F367" s="1" t="s">
        <v>33</v>
      </c>
      <c r="G367" s="1" t="s">
        <v>46</v>
      </c>
      <c r="H367" s="1">
        <v>70.37</v>
      </c>
      <c r="I367" s="1">
        <v>227.57</v>
      </c>
      <c r="J367" s="1">
        <v>3233.86</v>
      </c>
      <c r="K367" s="1" t="s">
        <v>28</v>
      </c>
      <c r="L367" s="1" t="s">
        <v>22</v>
      </c>
      <c r="M367" s="1">
        <v>119.91</v>
      </c>
      <c r="N367" s="1">
        <v>379.89</v>
      </c>
      <c r="O367" s="1" t="s">
        <v>42</v>
      </c>
      <c r="P367" s="1">
        <v>34.69</v>
      </c>
    </row>
    <row r="368" spans="1:16" ht="13" x14ac:dyDescent="0.3">
      <c r="A368" s="1" t="s">
        <v>433</v>
      </c>
      <c r="B368" s="2">
        <v>44758</v>
      </c>
      <c r="C368" s="1">
        <v>2022</v>
      </c>
      <c r="D368" s="1" t="s">
        <v>17</v>
      </c>
      <c r="E368" s="1" t="s">
        <v>72</v>
      </c>
      <c r="F368" s="1" t="s">
        <v>33</v>
      </c>
      <c r="G368" s="1" t="s">
        <v>27</v>
      </c>
      <c r="H368" s="1">
        <v>43.79</v>
      </c>
      <c r="I368" s="1">
        <v>143.86000000000001</v>
      </c>
      <c r="J368" s="1">
        <v>3285.3</v>
      </c>
      <c r="K368" s="1" t="s">
        <v>40</v>
      </c>
      <c r="L368" s="1" t="s">
        <v>29</v>
      </c>
      <c r="M368" s="1">
        <v>250.01</v>
      </c>
      <c r="N368" s="1">
        <v>938.54</v>
      </c>
      <c r="O368" s="1" t="s">
        <v>52</v>
      </c>
      <c r="P368" s="1">
        <v>32.090000000000003</v>
      </c>
    </row>
    <row r="369" spans="1:16" ht="13" x14ac:dyDescent="0.3">
      <c r="A369" s="1" t="s">
        <v>434</v>
      </c>
      <c r="B369" s="2">
        <v>43966</v>
      </c>
      <c r="C369" s="1">
        <v>2020</v>
      </c>
      <c r="D369" s="1" t="s">
        <v>36</v>
      </c>
      <c r="E369" s="1" t="s">
        <v>37</v>
      </c>
      <c r="F369" s="1" t="s">
        <v>19</v>
      </c>
      <c r="G369" s="1" t="s">
        <v>27</v>
      </c>
      <c r="H369" s="1">
        <v>72.34</v>
      </c>
      <c r="I369" s="1">
        <v>413.21</v>
      </c>
      <c r="J369" s="1">
        <v>5712</v>
      </c>
      <c r="K369" s="1" t="s">
        <v>34</v>
      </c>
      <c r="L369" s="1" t="s">
        <v>41</v>
      </c>
      <c r="M369" s="1">
        <v>112.74</v>
      </c>
      <c r="N369" s="1">
        <v>1058.5</v>
      </c>
      <c r="O369" s="1" t="s">
        <v>23</v>
      </c>
      <c r="P369" s="1">
        <v>25.98</v>
      </c>
    </row>
    <row r="370" spans="1:16" ht="13" x14ac:dyDescent="0.3">
      <c r="A370" s="1" t="s">
        <v>435</v>
      </c>
      <c r="B370" s="2">
        <v>42049</v>
      </c>
      <c r="C370" s="1">
        <v>2014</v>
      </c>
      <c r="D370" s="1" t="s">
        <v>25</v>
      </c>
      <c r="E370" s="1" t="s">
        <v>26</v>
      </c>
      <c r="F370" s="1" t="s">
        <v>38</v>
      </c>
      <c r="G370" s="1" t="s">
        <v>39</v>
      </c>
      <c r="H370" s="1">
        <v>10.53</v>
      </c>
      <c r="I370" s="1">
        <v>57.57</v>
      </c>
      <c r="J370" s="1">
        <v>5467.56</v>
      </c>
      <c r="K370" s="1" t="s">
        <v>34</v>
      </c>
      <c r="L370" s="1" t="s">
        <v>22</v>
      </c>
      <c r="M370" s="1">
        <v>140.24</v>
      </c>
      <c r="N370" s="1">
        <v>760.35</v>
      </c>
      <c r="O370" s="1" t="s">
        <v>70</v>
      </c>
      <c r="P370" s="1">
        <v>25.16</v>
      </c>
    </row>
    <row r="371" spans="1:16" ht="13" x14ac:dyDescent="0.3">
      <c r="A371" s="1" t="s">
        <v>436</v>
      </c>
      <c r="B371" s="2">
        <v>43741</v>
      </c>
      <c r="C371" s="1">
        <v>2019</v>
      </c>
      <c r="D371" s="1" t="s">
        <v>31</v>
      </c>
      <c r="E371" s="1" t="s">
        <v>117</v>
      </c>
      <c r="F371" s="1" t="s">
        <v>33</v>
      </c>
      <c r="G371" s="1" t="s">
        <v>27</v>
      </c>
      <c r="H371" s="1">
        <v>58.01</v>
      </c>
      <c r="I371" s="1">
        <v>283.95</v>
      </c>
      <c r="J371" s="1">
        <v>4894.79</v>
      </c>
      <c r="K371" s="1" t="s">
        <v>40</v>
      </c>
      <c r="L371" s="1" t="s">
        <v>29</v>
      </c>
      <c r="M371" s="1">
        <v>294.83999999999997</v>
      </c>
      <c r="N371" s="1">
        <v>484.61</v>
      </c>
      <c r="O371" s="1" t="s">
        <v>70</v>
      </c>
      <c r="P371" s="1">
        <v>30.1</v>
      </c>
    </row>
    <row r="372" spans="1:16" ht="13" x14ac:dyDescent="0.3">
      <c r="A372" s="1" t="s">
        <v>437</v>
      </c>
      <c r="B372" s="2">
        <v>43916</v>
      </c>
      <c r="C372" s="1">
        <v>2019</v>
      </c>
      <c r="D372" s="1" t="s">
        <v>25</v>
      </c>
      <c r="E372" s="1" t="s">
        <v>87</v>
      </c>
      <c r="F372" s="1" t="s">
        <v>38</v>
      </c>
      <c r="G372" s="1" t="s">
        <v>46</v>
      </c>
      <c r="H372" s="1">
        <v>63.54</v>
      </c>
      <c r="I372" s="1">
        <v>118.76</v>
      </c>
      <c r="J372" s="1">
        <v>1869.09</v>
      </c>
      <c r="K372" s="1" t="s">
        <v>40</v>
      </c>
      <c r="L372" s="1" t="s">
        <v>29</v>
      </c>
      <c r="M372" s="1">
        <v>210.15</v>
      </c>
      <c r="N372" s="1">
        <v>1128.57</v>
      </c>
      <c r="O372" s="1" t="s">
        <v>52</v>
      </c>
      <c r="P372" s="1">
        <v>29.47</v>
      </c>
    </row>
    <row r="373" spans="1:16" ht="13" x14ac:dyDescent="0.3">
      <c r="A373" s="1" t="s">
        <v>438</v>
      </c>
      <c r="B373" s="2">
        <v>40808</v>
      </c>
      <c r="C373" s="1">
        <v>2011</v>
      </c>
      <c r="D373" s="1" t="s">
        <v>44</v>
      </c>
      <c r="E373" s="1" t="s">
        <v>45</v>
      </c>
      <c r="F373" s="1" t="s">
        <v>33</v>
      </c>
      <c r="G373" s="1" t="s">
        <v>20</v>
      </c>
      <c r="H373" s="1">
        <v>23.59</v>
      </c>
      <c r="I373" s="1">
        <v>68.44</v>
      </c>
      <c r="J373" s="1">
        <v>2901.27</v>
      </c>
      <c r="K373" s="1" t="s">
        <v>34</v>
      </c>
      <c r="L373" s="1" t="s">
        <v>49</v>
      </c>
      <c r="M373" s="1">
        <v>227.61</v>
      </c>
      <c r="N373" s="1">
        <v>805.38</v>
      </c>
      <c r="O373" s="1" t="s">
        <v>52</v>
      </c>
      <c r="P373" s="1">
        <v>24.07</v>
      </c>
    </row>
    <row r="374" spans="1:16" ht="13" x14ac:dyDescent="0.3">
      <c r="A374" s="1" t="s">
        <v>439</v>
      </c>
      <c r="B374" s="2">
        <v>43506</v>
      </c>
      <c r="C374" s="1">
        <v>2018</v>
      </c>
      <c r="D374" s="1" t="s">
        <v>17</v>
      </c>
      <c r="E374" s="1" t="s">
        <v>54</v>
      </c>
      <c r="F374" s="1" t="s">
        <v>38</v>
      </c>
      <c r="G374" s="1" t="s">
        <v>46</v>
      </c>
      <c r="H374" s="1">
        <v>17.559999999999999</v>
      </c>
      <c r="I374" s="1">
        <v>107.56</v>
      </c>
      <c r="J374" s="1">
        <v>6125.27</v>
      </c>
      <c r="K374" s="1" t="s">
        <v>40</v>
      </c>
      <c r="L374" s="1" t="s">
        <v>22</v>
      </c>
      <c r="M374" s="1">
        <v>231.94</v>
      </c>
      <c r="N374" s="1">
        <v>862.02</v>
      </c>
      <c r="O374" s="1" t="s">
        <v>23</v>
      </c>
      <c r="P374" s="1">
        <v>23.16</v>
      </c>
    </row>
    <row r="375" spans="1:16" ht="13" x14ac:dyDescent="0.3">
      <c r="A375" s="1" t="s">
        <v>440</v>
      </c>
      <c r="B375" s="2">
        <v>42882</v>
      </c>
      <c r="C375" s="1">
        <v>2017</v>
      </c>
      <c r="D375" s="1" t="s">
        <v>25</v>
      </c>
      <c r="E375" s="1" t="s">
        <v>26</v>
      </c>
      <c r="F375" s="1" t="s">
        <v>19</v>
      </c>
      <c r="G375" s="1" t="s">
        <v>64</v>
      </c>
      <c r="H375" s="1">
        <v>3.61</v>
      </c>
      <c r="I375" s="1">
        <v>12.21</v>
      </c>
      <c r="J375" s="1">
        <v>3382.08</v>
      </c>
      <c r="K375" s="1" t="s">
        <v>21</v>
      </c>
      <c r="L375" s="1" t="s">
        <v>29</v>
      </c>
      <c r="M375" s="1">
        <v>75.98</v>
      </c>
      <c r="N375" s="1">
        <v>818.1</v>
      </c>
      <c r="O375" s="1" t="s">
        <v>23</v>
      </c>
      <c r="P375" s="1">
        <v>29.82</v>
      </c>
    </row>
    <row r="376" spans="1:16" ht="13" x14ac:dyDescent="0.3">
      <c r="A376" s="1" t="s">
        <v>441</v>
      </c>
      <c r="B376" s="2">
        <v>41394</v>
      </c>
      <c r="C376" s="1">
        <v>2013</v>
      </c>
      <c r="D376" s="1" t="s">
        <v>31</v>
      </c>
      <c r="E376" s="1" t="s">
        <v>82</v>
      </c>
      <c r="F376" s="1" t="s">
        <v>19</v>
      </c>
      <c r="G376" s="1" t="s">
        <v>20</v>
      </c>
      <c r="H376" s="1">
        <v>44.87</v>
      </c>
      <c r="I376" s="1">
        <v>78.900000000000006</v>
      </c>
      <c r="J376" s="1">
        <v>1758.47</v>
      </c>
      <c r="K376" s="1" t="s">
        <v>40</v>
      </c>
      <c r="L376" s="1" t="s">
        <v>47</v>
      </c>
      <c r="M376" s="1">
        <v>57.14</v>
      </c>
      <c r="N376" s="1">
        <v>863.55</v>
      </c>
      <c r="O376" s="1" t="s">
        <v>70</v>
      </c>
      <c r="P376" s="1">
        <v>32.96</v>
      </c>
    </row>
    <row r="377" spans="1:16" ht="13" x14ac:dyDescent="0.3">
      <c r="A377" s="1" t="s">
        <v>442</v>
      </c>
      <c r="B377" s="2">
        <v>43023</v>
      </c>
      <c r="C377" s="1">
        <v>2017</v>
      </c>
      <c r="D377" s="1" t="s">
        <v>31</v>
      </c>
      <c r="E377" s="1" t="s">
        <v>117</v>
      </c>
      <c r="F377" s="1" t="s">
        <v>33</v>
      </c>
      <c r="G377" s="1" t="s">
        <v>39</v>
      </c>
      <c r="H377" s="1">
        <v>54.39</v>
      </c>
      <c r="I377" s="1">
        <v>247.2</v>
      </c>
      <c r="J377" s="1">
        <v>4544.99</v>
      </c>
      <c r="K377" s="1" t="s">
        <v>28</v>
      </c>
      <c r="L377" s="1" t="s">
        <v>49</v>
      </c>
      <c r="M377" s="1">
        <v>207.76</v>
      </c>
      <c r="N377" s="1">
        <v>835.85</v>
      </c>
      <c r="O377" s="1" t="s">
        <v>61</v>
      </c>
      <c r="P377" s="1">
        <v>26.52</v>
      </c>
    </row>
    <row r="378" spans="1:16" ht="13" x14ac:dyDescent="0.3">
      <c r="A378" s="1" t="s">
        <v>443</v>
      </c>
      <c r="B378" s="2">
        <v>43286</v>
      </c>
      <c r="C378" s="1">
        <v>2018</v>
      </c>
      <c r="D378" s="1" t="s">
        <v>31</v>
      </c>
      <c r="E378" s="1" t="s">
        <v>32</v>
      </c>
      <c r="F378" s="1" t="s">
        <v>33</v>
      </c>
      <c r="G378" s="1" t="s">
        <v>64</v>
      </c>
      <c r="H378" s="1">
        <v>44.74</v>
      </c>
      <c r="I378" s="1">
        <v>142.93</v>
      </c>
      <c r="J378" s="1">
        <v>3194.7</v>
      </c>
      <c r="K378" s="1" t="s">
        <v>34</v>
      </c>
      <c r="L378" s="1" t="s">
        <v>49</v>
      </c>
      <c r="M378" s="1">
        <v>88.93</v>
      </c>
      <c r="N378" s="1">
        <v>210.56</v>
      </c>
      <c r="O378" s="1" t="s">
        <v>61</v>
      </c>
      <c r="P378" s="1">
        <v>32.229999999999997</v>
      </c>
    </row>
    <row r="379" spans="1:16" ht="13" x14ac:dyDescent="0.3">
      <c r="A379" s="1" t="s">
        <v>444</v>
      </c>
      <c r="B379" s="2">
        <v>43253</v>
      </c>
      <c r="C379" s="1">
        <v>2018</v>
      </c>
      <c r="D379" s="1" t="s">
        <v>31</v>
      </c>
      <c r="E379" s="1" t="s">
        <v>32</v>
      </c>
      <c r="F379" s="1" t="s">
        <v>33</v>
      </c>
      <c r="G379" s="1" t="s">
        <v>39</v>
      </c>
      <c r="H379" s="1">
        <v>92.29</v>
      </c>
      <c r="I379" s="1">
        <v>616.66</v>
      </c>
      <c r="J379" s="1">
        <v>6681.75</v>
      </c>
      <c r="K379" s="1" t="s">
        <v>28</v>
      </c>
      <c r="L379" s="1" t="s">
        <v>47</v>
      </c>
      <c r="M379" s="1">
        <v>124.9</v>
      </c>
      <c r="N379" s="1">
        <v>965.87</v>
      </c>
      <c r="O379" s="1" t="s">
        <v>70</v>
      </c>
      <c r="P379" s="1">
        <v>28.96</v>
      </c>
    </row>
    <row r="380" spans="1:16" ht="13" x14ac:dyDescent="0.3">
      <c r="A380" s="1" t="s">
        <v>445</v>
      </c>
      <c r="B380" s="2">
        <v>42476</v>
      </c>
      <c r="C380" s="1">
        <v>2016</v>
      </c>
      <c r="D380" s="1" t="s">
        <v>31</v>
      </c>
      <c r="E380" s="1" t="s">
        <v>82</v>
      </c>
      <c r="F380" s="1" t="s">
        <v>19</v>
      </c>
      <c r="G380" s="1" t="s">
        <v>46</v>
      </c>
      <c r="H380" s="1">
        <v>40.08</v>
      </c>
      <c r="I380" s="1">
        <v>79.34</v>
      </c>
      <c r="J380" s="1">
        <v>1979.62</v>
      </c>
      <c r="K380" s="1" t="s">
        <v>28</v>
      </c>
      <c r="L380" s="1" t="s">
        <v>47</v>
      </c>
      <c r="M380" s="1">
        <v>257.11</v>
      </c>
      <c r="N380" s="1">
        <v>420.59</v>
      </c>
      <c r="O380" s="1" t="s">
        <v>23</v>
      </c>
      <c r="P380" s="1">
        <v>26.33</v>
      </c>
    </row>
    <row r="381" spans="1:16" ht="13" x14ac:dyDescent="0.3">
      <c r="A381" s="1" t="s">
        <v>446</v>
      </c>
      <c r="B381" s="2">
        <v>44659</v>
      </c>
      <c r="C381" s="1">
        <v>2022</v>
      </c>
      <c r="D381" s="1" t="s">
        <v>44</v>
      </c>
      <c r="E381" s="1" t="s">
        <v>67</v>
      </c>
      <c r="F381" s="1" t="s">
        <v>19</v>
      </c>
      <c r="G381" s="1" t="s">
        <v>39</v>
      </c>
      <c r="H381" s="1">
        <v>27.91</v>
      </c>
      <c r="I381" s="1">
        <v>136.5</v>
      </c>
      <c r="J381" s="1">
        <v>4890.74</v>
      </c>
      <c r="K381" s="1" t="s">
        <v>34</v>
      </c>
      <c r="L381" s="1" t="s">
        <v>29</v>
      </c>
      <c r="M381" s="1">
        <v>153.22999999999999</v>
      </c>
      <c r="N381" s="1">
        <v>1053.48</v>
      </c>
      <c r="O381" s="1" t="s">
        <v>42</v>
      </c>
      <c r="P381" s="1">
        <v>22.05</v>
      </c>
    </row>
    <row r="382" spans="1:16" ht="13" x14ac:dyDescent="0.3">
      <c r="A382" s="1" t="s">
        <v>447</v>
      </c>
      <c r="B382" s="2">
        <v>41748</v>
      </c>
      <c r="C382" s="1">
        <v>2014</v>
      </c>
      <c r="D382" s="1" t="s">
        <v>59</v>
      </c>
      <c r="E382" s="1" t="s">
        <v>63</v>
      </c>
      <c r="F382" s="1" t="s">
        <v>19</v>
      </c>
      <c r="G382" s="1" t="s">
        <v>27</v>
      </c>
      <c r="H382" s="1">
        <v>49.71</v>
      </c>
      <c r="I382" s="1">
        <v>145.35</v>
      </c>
      <c r="J382" s="1">
        <v>2923.86</v>
      </c>
      <c r="K382" s="1" t="s">
        <v>40</v>
      </c>
      <c r="L382" s="1" t="s">
        <v>49</v>
      </c>
      <c r="M382" s="1">
        <v>62.41</v>
      </c>
      <c r="N382" s="1">
        <v>734.97</v>
      </c>
      <c r="O382" s="1" t="s">
        <v>42</v>
      </c>
      <c r="P382" s="1">
        <v>34.58</v>
      </c>
    </row>
    <row r="383" spans="1:16" ht="13" x14ac:dyDescent="0.3">
      <c r="A383" s="1" t="s">
        <v>448</v>
      </c>
      <c r="B383" s="2">
        <v>42855</v>
      </c>
      <c r="C383" s="1">
        <v>2017</v>
      </c>
      <c r="D383" s="1" t="s">
        <v>103</v>
      </c>
      <c r="E383" s="1" t="s">
        <v>228</v>
      </c>
      <c r="F383" s="1" t="s">
        <v>19</v>
      </c>
      <c r="G383" s="1" t="s">
        <v>64</v>
      </c>
      <c r="H383" s="1">
        <v>24.05</v>
      </c>
      <c r="I383" s="1">
        <v>45.79</v>
      </c>
      <c r="J383" s="1">
        <v>1904.1</v>
      </c>
      <c r="K383" s="1" t="s">
        <v>28</v>
      </c>
      <c r="L383" s="1" t="s">
        <v>22</v>
      </c>
      <c r="M383" s="1">
        <v>104.3</v>
      </c>
      <c r="N383" s="1">
        <v>620.24</v>
      </c>
      <c r="O383" s="1" t="s">
        <v>52</v>
      </c>
      <c r="P383" s="1">
        <v>34.97</v>
      </c>
    </row>
    <row r="384" spans="1:16" ht="13" x14ac:dyDescent="0.3">
      <c r="A384" s="1" t="s">
        <v>449</v>
      </c>
      <c r="B384" s="2">
        <v>44716</v>
      </c>
      <c r="C384" s="1">
        <v>2022</v>
      </c>
      <c r="D384" s="1" t="s">
        <v>31</v>
      </c>
      <c r="E384" s="1" t="s">
        <v>82</v>
      </c>
      <c r="F384" s="1" t="s">
        <v>33</v>
      </c>
      <c r="G384" s="1" t="s">
        <v>64</v>
      </c>
      <c r="H384" s="1">
        <v>27.38</v>
      </c>
      <c r="I384" s="1">
        <v>91.85</v>
      </c>
      <c r="J384" s="1">
        <v>3354.53</v>
      </c>
      <c r="K384" s="1" t="s">
        <v>28</v>
      </c>
      <c r="L384" s="1" t="s">
        <v>22</v>
      </c>
      <c r="M384" s="1">
        <v>95.4</v>
      </c>
      <c r="N384" s="1">
        <v>1095.7</v>
      </c>
      <c r="O384" s="1" t="s">
        <v>70</v>
      </c>
      <c r="P384" s="1">
        <v>32.26</v>
      </c>
    </row>
    <row r="385" spans="1:16" ht="13" x14ac:dyDescent="0.3">
      <c r="A385" s="1" t="s">
        <v>450</v>
      </c>
      <c r="B385" s="2">
        <v>41632</v>
      </c>
      <c r="C385" s="1">
        <v>2013</v>
      </c>
      <c r="D385" s="1" t="s">
        <v>44</v>
      </c>
      <c r="E385" s="1" t="s">
        <v>67</v>
      </c>
      <c r="F385" s="1" t="s">
        <v>38</v>
      </c>
      <c r="G385" s="1" t="s">
        <v>46</v>
      </c>
      <c r="H385" s="1">
        <v>25.47</v>
      </c>
      <c r="I385" s="1">
        <v>177.45</v>
      </c>
      <c r="J385" s="1">
        <v>6967.21</v>
      </c>
      <c r="K385" s="1" t="s">
        <v>40</v>
      </c>
      <c r="L385" s="1" t="s">
        <v>29</v>
      </c>
      <c r="M385" s="1">
        <v>165.21</v>
      </c>
      <c r="N385" s="1">
        <v>971</v>
      </c>
      <c r="O385" s="1" t="s">
        <v>61</v>
      </c>
      <c r="P385" s="1">
        <v>29.99</v>
      </c>
    </row>
    <row r="386" spans="1:16" ht="13" x14ac:dyDescent="0.3">
      <c r="A386" s="1" t="s">
        <v>451</v>
      </c>
      <c r="B386" s="2">
        <v>41957</v>
      </c>
      <c r="C386" s="1">
        <v>2014</v>
      </c>
      <c r="D386" s="1" t="s">
        <v>36</v>
      </c>
      <c r="E386" s="1" t="s">
        <v>77</v>
      </c>
      <c r="F386" s="1" t="s">
        <v>38</v>
      </c>
      <c r="G386" s="1" t="s">
        <v>56</v>
      </c>
      <c r="H386" s="1">
        <v>63.29</v>
      </c>
      <c r="I386" s="1">
        <v>79.31</v>
      </c>
      <c r="J386" s="1">
        <v>1253.1199999999999</v>
      </c>
      <c r="K386" s="1" t="s">
        <v>21</v>
      </c>
      <c r="L386" s="1" t="s">
        <v>41</v>
      </c>
      <c r="M386" s="1">
        <v>113.33</v>
      </c>
      <c r="N386" s="1">
        <v>838.52</v>
      </c>
      <c r="O386" s="1" t="s">
        <v>42</v>
      </c>
      <c r="P386" s="1">
        <v>25.41</v>
      </c>
    </row>
    <row r="387" spans="1:16" ht="13" x14ac:dyDescent="0.3">
      <c r="A387" s="1" t="s">
        <v>452</v>
      </c>
      <c r="B387" s="2">
        <v>44257</v>
      </c>
      <c r="C387" s="1">
        <v>2020</v>
      </c>
      <c r="D387" s="1" t="s">
        <v>25</v>
      </c>
      <c r="E387" s="1" t="s">
        <v>26</v>
      </c>
      <c r="F387" s="1" t="s">
        <v>38</v>
      </c>
      <c r="G387" s="1" t="s">
        <v>20</v>
      </c>
      <c r="H387" s="1">
        <v>2.4900000000000002</v>
      </c>
      <c r="I387" s="1">
        <v>14.36</v>
      </c>
      <c r="J387" s="1">
        <v>5766.34</v>
      </c>
      <c r="K387" s="1" t="s">
        <v>21</v>
      </c>
      <c r="L387" s="1" t="s">
        <v>47</v>
      </c>
      <c r="M387" s="1">
        <v>148.94999999999999</v>
      </c>
      <c r="N387" s="1">
        <v>443.09</v>
      </c>
      <c r="O387" s="1" t="s">
        <v>23</v>
      </c>
      <c r="P387" s="1">
        <v>28.72</v>
      </c>
    </row>
    <row r="388" spans="1:16" ht="13" x14ac:dyDescent="0.3">
      <c r="A388" s="1" t="s">
        <v>453</v>
      </c>
      <c r="B388" s="2">
        <v>44752</v>
      </c>
      <c r="C388" s="1">
        <v>2022</v>
      </c>
      <c r="D388" s="1" t="s">
        <v>103</v>
      </c>
      <c r="E388" s="1" t="s">
        <v>107</v>
      </c>
      <c r="F388" s="1" t="s">
        <v>33</v>
      </c>
      <c r="G388" s="1" t="s">
        <v>56</v>
      </c>
      <c r="H388" s="1">
        <v>16.61</v>
      </c>
      <c r="I388" s="1">
        <v>25.72</v>
      </c>
      <c r="J388" s="1">
        <v>1548.41</v>
      </c>
      <c r="K388" s="1" t="s">
        <v>34</v>
      </c>
      <c r="L388" s="1" t="s">
        <v>47</v>
      </c>
      <c r="M388" s="1">
        <v>282.70999999999998</v>
      </c>
      <c r="N388" s="1">
        <v>1196.97</v>
      </c>
      <c r="O388" s="1" t="s">
        <v>23</v>
      </c>
      <c r="P388" s="1">
        <v>20.9</v>
      </c>
    </row>
    <row r="389" spans="1:16" ht="13" x14ac:dyDescent="0.3">
      <c r="A389" s="1" t="s">
        <v>454</v>
      </c>
      <c r="B389" s="2">
        <v>41310</v>
      </c>
      <c r="C389" s="1">
        <v>2012</v>
      </c>
      <c r="D389" s="1" t="s">
        <v>44</v>
      </c>
      <c r="E389" s="1" t="s">
        <v>45</v>
      </c>
      <c r="F389" s="1" t="s">
        <v>38</v>
      </c>
      <c r="G389" s="1" t="s">
        <v>56</v>
      </c>
      <c r="H389" s="1">
        <v>32.36</v>
      </c>
      <c r="I389" s="1">
        <v>140.77000000000001</v>
      </c>
      <c r="J389" s="1">
        <v>4350.1000000000004</v>
      </c>
      <c r="K389" s="1" t="s">
        <v>34</v>
      </c>
      <c r="L389" s="1" t="s">
        <v>49</v>
      </c>
      <c r="M389" s="1">
        <v>251.38</v>
      </c>
      <c r="N389" s="1">
        <v>638.72</v>
      </c>
      <c r="O389" s="1" t="s">
        <v>42</v>
      </c>
      <c r="P389" s="1">
        <v>20.32</v>
      </c>
    </row>
    <row r="390" spans="1:16" ht="13" x14ac:dyDescent="0.3">
      <c r="A390" s="1" t="s">
        <v>455</v>
      </c>
      <c r="B390" s="2">
        <v>41910</v>
      </c>
      <c r="C390" s="1">
        <v>2014</v>
      </c>
      <c r="D390" s="1" t="s">
        <v>17</v>
      </c>
      <c r="E390" s="1" t="s">
        <v>18</v>
      </c>
      <c r="F390" s="1" t="s">
        <v>33</v>
      </c>
      <c r="G390" s="1" t="s">
        <v>46</v>
      </c>
      <c r="H390" s="1">
        <v>70.959999999999994</v>
      </c>
      <c r="I390" s="1">
        <v>308.97000000000003</v>
      </c>
      <c r="J390" s="1">
        <v>4354.1499999999996</v>
      </c>
      <c r="K390" s="1" t="s">
        <v>28</v>
      </c>
      <c r="L390" s="1" t="s">
        <v>49</v>
      </c>
      <c r="M390" s="1">
        <v>97.44</v>
      </c>
      <c r="N390" s="1">
        <v>386.63</v>
      </c>
      <c r="O390" s="1" t="s">
        <v>70</v>
      </c>
      <c r="P390" s="1">
        <v>24.86</v>
      </c>
    </row>
    <row r="391" spans="1:16" ht="13" x14ac:dyDescent="0.3">
      <c r="A391" s="1" t="s">
        <v>456</v>
      </c>
      <c r="B391" s="2">
        <v>43299</v>
      </c>
      <c r="C391" s="1">
        <v>2018</v>
      </c>
      <c r="D391" s="1" t="s">
        <v>44</v>
      </c>
      <c r="E391" s="1" t="s">
        <v>67</v>
      </c>
      <c r="F391" s="1" t="s">
        <v>33</v>
      </c>
      <c r="G391" s="1" t="s">
        <v>64</v>
      </c>
      <c r="H391" s="1">
        <v>53.58</v>
      </c>
      <c r="I391" s="1">
        <v>198.05</v>
      </c>
      <c r="J391" s="1">
        <v>3696.31</v>
      </c>
      <c r="K391" s="1" t="s">
        <v>34</v>
      </c>
      <c r="L391" s="1" t="s">
        <v>22</v>
      </c>
      <c r="M391" s="1">
        <v>185.4</v>
      </c>
      <c r="N391" s="1">
        <v>654.08000000000004</v>
      </c>
      <c r="O391" s="1" t="s">
        <v>61</v>
      </c>
      <c r="P391" s="1">
        <v>25.69</v>
      </c>
    </row>
    <row r="392" spans="1:16" ht="13" x14ac:dyDescent="0.3">
      <c r="A392" s="1" t="s">
        <v>457</v>
      </c>
      <c r="B392" s="2">
        <v>44670</v>
      </c>
      <c r="C392" s="1">
        <v>2022</v>
      </c>
      <c r="D392" s="1" t="s">
        <v>59</v>
      </c>
      <c r="E392" s="1" t="s">
        <v>63</v>
      </c>
      <c r="F392" s="1" t="s">
        <v>19</v>
      </c>
      <c r="G392" s="1" t="s">
        <v>56</v>
      </c>
      <c r="H392" s="1">
        <v>32.75</v>
      </c>
      <c r="I392" s="1">
        <v>45.2</v>
      </c>
      <c r="J392" s="1">
        <v>1380.05</v>
      </c>
      <c r="K392" s="1" t="s">
        <v>28</v>
      </c>
      <c r="L392" s="1" t="s">
        <v>49</v>
      </c>
      <c r="M392" s="1">
        <v>97.47</v>
      </c>
      <c r="N392" s="1">
        <v>883.22</v>
      </c>
      <c r="O392" s="1" t="s">
        <v>61</v>
      </c>
      <c r="P392" s="1">
        <v>22.31</v>
      </c>
    </row>
    <row r="393" spans="1:16" ht="13" x14ac:dyDescent="0.3">
      <c r="A393" s="1" t="s">
        <v>458</v>
      </c>
      <c r="B393" s="2">
        <v>42181</v>
      </c>
      <c r="C393" s="1">
        <v>2015</v>
      </c>
      <c r="D393" s="1" t="s">
        <v>36</v>
      </c>
      <c r="E393" s="1" t="s">
        <v>77</v>
      </c>
      <c r="F393" s="1" t="s">
        <v>33</v>
      </c>
      <c r="G393" s="1" t="s">
        <v>64</v>
      </c>
      <c r="H393" s="1">
        <v>52.8</v>
      </c>
      <c r="I393" s="1">
        <v>73.92</v>
      </c>
      <c r="J393" s="1">
        <v>1400.08</v>
      </c>
      <c r="K393" s="1" t="s">
        <v>40</v>
      </c>
      <c r="L393" s="1" t="s">
        <v>22</v>
      </c>
      <c r="M393" s="1">
        <v>94.66</v>
      </c>
      <c r="N393" s="1">
        <v>231.27</v>
      </c>
      <c r="O393" s="1" t="s">
        <v>23</v>
      </c>
      <c r="P393" s="1">
        <v>27.28</v>
      </c>
    </row>
    <row r="394" spans="1:16" ht="13" x14ac:dyDescent="0.3">
      <c r="A394" s="1" t="s">
        <v>459</v>
      </c>
      <c r="B394" s="2">
        <v>42519</v>
      </c>
      <c r="C394" s="1">
        <v>2016</v>
      </c>
      <c r="D394" s="1" t="s">
        <v>59</v>
      </c>
      <c r="E394" s="1" t="s">
        <v>93</v>
      </c>
      <c r="F394" s="1" t="s">
        <v>19</v>
      </c>
      <c r="G394" s="1" t="s">
        <v>46</v>
      </c>
      <c r="H394" s="1">
        <v>53.06</v>
      </c>
      <c r="I394" s="1">
        <v>276.33</v>
      </c>
      <c r="J394" s="1">
        <v>5207.88</v>
      </c>
      <c r="K394" s="1" t="s">
        <v>34</v>
      </c>
      <c r="L394" s="1" t="s">
        <v>41</v>
      </c>
      <c r="M394" s="1">
        <v>62.27</v>
      </c>
      <c r="N394" s="1">
        <v>420.72</v>
      </c>
      <c r="O394" s="1" t="s">
        <v>23</v>
      </c>
      <c r="P394" s="1">
        <v>20.2</v>
      </c>
    </row>
    <row r="395" spans="1:16" ht="13" x14ac:dyDescent="0.3">
      <c r="A395" s="1" t="s">
        <v>460</v>
      </c>
      <c r="B395" s="2">
        <v>40916</v>
      </c>
      <c r="C395" s="1">
        <v>2011</v>
      </c>
      <c r="D395" s="1" t="s">
        <v>17</v>
      </c>
      <c r="E395" s="1" t="s">
        <v>72</v>
      </c>
      <c r="F395" s="1" t="s">
        <v>38</v>
      </c>
      <c r="G395" s="1" t="s">
        <v>39</v>
      </c>
      <c r="H395" s="1">
        <v>7.01</v>
      </c>
      <c r="I395" s="1">
        <v>30.48</v>
      </c>
      <c r="J395" s="1">
        <v>4348.12</v>
      </c>
      <c r="K395" s="1" t="s">
        <v>28</v>
      </c>
      <c r="L395" s="1" t="s">
        <v>47</v>
      </c>
      <c r="M395" s="1">
        <v>255.51</v>
      </c>
      <c r="N395" s="1">
        <v>994.25</v>
      </c>
      <c r="O395" s="1" t="s">
        <v>23</v>
      </c>
      <c r="P395" s="1">
        <v>32.35</v>
      </c>
    </row>
    <row r="396" spans="1:16" ht="13" x14ac:dyDescent="0.3">
      <c r="A396" s="1" t="s">
        <v>461</v>
      </c>
      <c r="B396" s="2">
        <v>40982</v>
      </c>
      <c r="C396" s="1">
        <v>2011</v>
      </c>
      <c r="D396" s="1" t="s">
        <v>25</v>
      </c>
      <c r="E396" s="1" t="s">
        <v>69</v>
      </c>
      <c r="F396" s="1" t="s">
        <v>38</v>
      </c>
      <c r="G396" s="1" t="s">
        <v>64</v>
      </c>
      <c r="H396" s="1">
        <v>94.52</v>
      </c>
      <c r="I396" s="1">
        <v>639.29</v>
      </c>
      <c r="J396" s="1">
        <v>6763.52</v>
      </c>
      <c r="K396" s="1" t="s">
        <v>21</v>
      </c>
      <c r="L396" s="1" t="s">
        <v>41</v>
      </c>
      <c r="M396" s="1">
        <v>75.31</v>
      </c>
      <c r="N396" s="1">
        <v>431.02</v>
      </c>
      <c r="O396" s="1" t="s">
        <v>52</v>
      </c>
      <c r="P396" s="1">
        <v>22.84</v>
      </c>
    </row>
    <row r="397" spans="1:16" ht="13" x14ac:dyDescent="0.3">
      <c r="A397" s="1" t="s">
        <v>462</v>
      </c>
      <c r="B397" s="2">
        <v>41010</v>
      </c>
      <c r="C397" s="1">
        <v>2012</v>
      </c>
      <c r="D397" s="1" t="s">
        <v>59</v>
      </c>
      <c r="E397" s="1" t="s">
        <v>93</v>
      </c>
      <c r="F397" s="1" t="s">
        <v>19</v>
      </c>
      <c r="G397" s="1" t="s">
        <v>39</v>
      </c>
      <c r="H397" s="1">
        <v>56.26</v>
      </c>
      <c r="I397" s="1">
        <v>308.12</v>
      </c>
      <c r="J397" s="1">
        <v>5476.65</v>
      </c>
      <c r="K397" s="1" t="s">
        <v>34</v>
      </c>
      <c r="L397" s="1" t="s">
        <v>41</v>
      </c>
      <c r="M397" s="1">
        <v>218.62</v>
      </c>
      <c r="N397" s="1">
        <v>902.55</v>
      </c>
      <c r="O397" s="1" t="s">
        <v>52</v>
      </c>
      <c r="P397" s="1">
        <v>33.24</v>
      </c>
    </row>
    <row r="398" spans="1:16" ht="13" x14ac:dyDescent="0.3">
      <c r="A398" s="1" t="s">
        <v>463</v>
      </c>
      <c r="B398" s="2">
        <v>43488</v>
      </c>
      <c r="C398" s="1">
        <v>2018</v>
      </c>
      <c r="D398" s="1" t="s">
        <v>59</v>
      </c>
      <c r="E398" s="1" t="s">
        <v>63</v>
      </c>
      <c r="F398" s="1" t="s">
        <v>38</v>
      </c>
      <c r="G398" s="1" t="s">
        <v>39</v>
      </c>
      <c r="H398" s="1">
        <v>16.66</v>
      </c>
      <c r="I398" s="1">
        <v>116.46</v>
      </c>
      <c r="J398" s="1">
        <v>6990.6</v>
      </c>
      <c r="K398" s="1" t="s">
        <v>28</v>
      </c>
      <c r="L398" s="1" t="s">
        <v>49</v>
      </c>
      <c r="M398" s="1">
        <v>283.38</v>
      </c>
      <c r="N398" s="1">
        <v>1102.48</v>
      </c>
      <c r="O398" s="1" t="s">
        <v>61</v>
      </c>
      <c r="P398" s="1">
        <v>34.869999999999997</v>
      </c>
    </row>
    <row r="399" spans="1:16" ht="13" x14ac:dyDescent="0.3">
      <c r="A399" s="1" t="s">
        <v>464</v>
      </c>
      <c r="B399" s="2">
        <v>42489</v>
      </c>
      <c r="C399" s="1">
        <v>2016</v>
      </c>
      <c r="D399" s="1" t="s">
        <v>36</v>
      </c>
      <c r="E399" s="1" t="s">
        <v>77</v>
      </c>
      <c r="F399" s="1" t="s">
        <v>19</v>
      </c>
      <c r="G399" s="1" t="s">
        <v>20</v>
      </c>
      <c r="H399" s="1">
        <v>61.23</v>
      </c>
      <c r="I399" s="1">
        <v>268.12</v>
      </c>
      <c r="J399" s="1">
        <v>4378.87</v>
      </c>
      <c r="K399" s="1" t="s">
        <v>40</v>
      </c>
      <c r="L399" s="1" t="s">
        <v>29</v>
      </c>
      <c r="M399" s="1">
        <v>143.77000000000001</v>
      </c>
      <c r="N399" s="1">
        <v>750.24</v>
      </c>
      <c r="O399" s="1" t="s">
        <v>70</v>
      </c>
      <c r="P399" s="1">
        <v>25.4</v>
      </c>
    </row>
    <row r="400" spans="1:16" ht="13" x14ac:dyDescent="0.3">
      <c r="A400" s="1" t="s">
        <v>465</v>
      </c>
      <c r="B400" s="2">
        <v>44353</v>
      </c>
      <c r="C400" s="1">
        <v>2021</v>
      </c>
      <c r="D400" s="1" t="s">
        <v>36</v>
      </c>
      <c r="E400" s="1" t="s">
        <v>37</v>
      </c>
      <c r="F400" s="1" t="s">
        <v>33</v>
      </c>
      <c r="G400" s="1" t="s">
        <v>20</v>
      </c>
      <c r="H400" s="1">
        <v>59.98</v>
      </c>
      <c r="I400" s="1">
        <v>246.26</v>
      </c>
      <c r="J400" s="1">
        <v>4105.66</v>
      </c>
      <c r="K400" s="1" t="s">
        <v>34</v>
      </c>
      <c r="L400" s="1" t="s">
        <v>49</v>
      </c>
      <c r="M400" s="1">
        <v>51.64</v>
      </c>
      <c r="N400" s="1">
        <v>1184.3900000000001</v>
      </c>
      <c r="O400" s="1" t="s">
        <v>42</v>
      </c>
      <c r="P400" s="1">
        <v>32.840000000000003</v>
      </c>
    </row>
    <row r="401" spans="1:16" ht="13" x14ac:dyDescent="0.3">
      <c r="A401" s="1" t="s">
        <v>466</v>
      </c>
      <c r="B401" s="2">
        <v>43207</v>
      </c>
      <c r="C401" s="1">
        <v>2018</v>
      </c>
      <c r="D401" s="1" t="s">
        <v>59</v>
      </c>
      <c r="E401" s="1" t="s">
        <v>93</v>
      </c>
      <c r="F401" s="1" t="s">
        <v>19</v>
      </c>
      <c r="G401" s="1" t="s">
        <v>27</v>
      </c>
      <c r="H401" s="1">
        <v>16.32</v>
      </c>
      <c r="I401" s="1">
        <v>20.02</v>
      </c>
      <c r="J401" s="1">
        <v>1226.42</v>
      </c>
      <c r="K401" s="1" t="s">
        <v>34</v>
      </c>
      <c r="L401" s="1" t="s">
        <v>49</v>
      </c>
      <c r="M401" s="1">
        <v>89.03</v>
      </c>
      <c r="N401" s="1">
        <v>464.99</v>
      </c>
      <c r="O401" s="1" t="s">
        <v>61</v>
      </c>
      <c r="P401" s="1">
        <v>23.75</v>
      </c>
    </row>
    <row r="402" spans="1:16" ht="13" x14ac:dyDescent="0.3">
      <c r="A402" s="1" t="s">
        <v>467</v>
      </c>
      <c r="B402" s="2">
        <v>42467</v>
      </c>
      <c r="C402" s="1">
        <v>2016</v>
      </c>
      <c r="D402" s="1" t="s">
        <v>25</v>
      </c>
      <c r="E402" s="1" t="s">
        <v>69</v>
      </c>
      <c r="F402" s="1" t="s">
        <v>19</v>
      </c>
      <c r="G402" s="1" t="s">
        <v>56</v>
      </c>
      <c r="H402" s="1">
        <v>73.69</v>
      </c>
      <c r="I402" s="1">
        <v>393.61</v>
      </c>
      <c r="J402" s="1">
        <v>5341.48</v>
      </c>
      <c r="K402" s="1" t="s">
        <v>28</v>
      </c>
      <c r="L402" s="1" t="s">
        <v>47</v>
      </c>
      <c r="M402" s="1">
        <v>93.23</v>
      </c>
      <c r="N402" s="1">
        <v>1025.71</v>
      </c>
      <c r="O402" s="1" t="s">
        <v>61</v>
      </c>
      <c r="P402" s="1">
        <v>32.29</v>
      </c>
    </row>
    <row r="403" spans="1:16" ht="13" x14ac:dyDescent="0.3">
      <c r="A403" s="1" t="s">
        <v>468</v>
      </c>
      <c r="B403" s="2">
        <v>40276</v>
      </c>
      <c r="C403" s="1">
        <v>2010</v>
      </c>
      <c r="D403" s="1" t="s">
        <v>17</v>
      </c>
      <c r="E403" s="1" t="s">
        <v>72</v>
      </c>
      <c r="F403" s="1" t="s">
        <v>19</v>
      </c>
      <c r="G403" s="1" t="s">
        <v>27</v>
      </c>
      <c r="H403" s="1">
        <v>38.770000000000003</v>
      </c>
      <c r="I403" s="1">
        <v>220.24</v>
      </c>
      <c r="J403" s="1">
        <v>5680.73</v>
      </c>
      <c r="K403" s="1" t="s">
        <v>34</v>
      </c>
      <c r="L403" s="1" t="s">
        <v>41</v>
      </c>
      <c r="M403" s="1">
        <v>136.97999999999999</v>
      </c>
      <c r="N403" s="1">
        <v>1017.14</v>
      </c>
      <c r="O403" s="1" t="s">
        <v>52</v>
      </c>
      <c r="P403" s="1">
        <v>33.950000000000003</v>
      </c>
    </row>
    <row r="404" spans="1:16" ht="13" x14ac:dyDescent="0.3">
      <c r="A404" s="1" t="s">
        <v>469</v>
      </c>
      <c r="B404" s="2">
        <v>43745</v>
      </c>
      <c r="C404" s="1">
        <v>2019</v>
      </c>
      <c r="D404" s="1" t="s">
        <v>17</v>
      </c>
      <c r="E404" s="1" t="s">
        <v>54</v>
      </c>
      <c r="F404" s="1" t="s">
        <v>33</v>
      </c>
      <c r="G404" s="1" t="s">
        <v>39</v>
      </c>
      <c r="H404" s="1">
        <v>77.959999999999994</v>
      </c>
      <c r="I404" s="1">
        <v>256.87</v>
      </c>
      <c r="J404" s="1">
        <v>3294.92</v>
      </c>
      <c r="K404" s="1" t="s">
        <v>34</v>
      </c>
      <c r="L404" s="1" t="s">
        <v>41</v>
      </c>
      <c r="M404" s="1">
        <v>181.1</v>
      </c>
      <c r="N404" s="1">
        <v>519.32000000000005</v>
      </c>
      <c r="O404" s="1" t="s">
        <v>61</v>
      </c>
      <c r="P404" s="1">
        <v>22.24</v>
      </c>
    </row>
    <row r="405" spans="1:16" ht="13" x14ac:dyDescent="0.3">
      <c r="A405" s="1" t="s">
        <v>470</v>
      </c>
      <c r="B405" s="2">
        <v>43943</v>
      </c>
      <c r="C405" s="1">
        <v>2020</v>
      </c>
      <c r="D405" s="1" t="s">
        <v>103</v>
      </c>
      <c r="E405" s="1" t="s">
        <v>104</v>
      </c>
      <c r="F405" s="1" t="s">
        <v>19</v>
      </c>
      <c r="G405" s="1" t="s">
        <v>46</v>
      </c>
      <c r="H405" s="1">
        <v>97.13</v>
      </c>
      <c r="I405" s="1">
        <v>535.87</v>
      </c>
      <c r="J405" s="1">
        <v>5517.04</v>
      </c>
      <c r="K405" s="1" t="s">
        <v>21</v>
      </c>
      <c r="L405" s="1" t="s">
        <v>22</v>
      </c>
      <c r="M405" s="1">
        <v>105.52</v>
      </c>
      <c r="N405" s="1">
        <v>489.78</v>
      </c>
      <c r="O405" s="1" t="s">
        <v>52</v>
      </c>
      <c r="P405" s="1">
        <v>22.22</v>
      </c>
    </row>
    <row r="406" spans="1:16" ht="13" x14ac:dyDescent="0.3">
      <c r="A406" s="1" t="s">
        <v>471</v>
      </c>
      <c r="B406" s="2">
        <v>44398</v>
      </c>
      <c r="C406" s="1">
        <v>2021</v>
      </c>
      <c r="D406" s="1" t="s">
        <v>36</v>
      </c>
      <c r="E406" s="1" t="s">
        <v>77</v>
      </c>
      <c r="F406" s="1" t="s">
        <v>33</v>
      </c>
      <c r="G406" s="1" t="s">
        <v>27</v>
      </c>
      <c r="H406" s="1">
        <v>40.520000000000003</v>
      </c>
      <c r="I406" s="1">
        <v>61.2</v>
      </c>
      <c r="J406" s="1">
        <v>1510.47</v>
      </c>
      <c r="K406" s="1" t="s">
        <v>28</v>
      </c>
      <c r="L406" s="1" t="s">
        <v>29</v>
      </c>
      <c r="M406" s="1">
        <v>243.46</v>
      </c>
      <c r="N406" s="1">
        <v>330.38</v>
      </c>
      <c r="O406" s="1" t="s">
        <v>42</v>
      </c>
      <c r="P406" s="1">
        <v>27.21</v>
      </c>
    </row>
    <row r="407" spans="1:16" ht="13" x14ac:dyDescent="0.3">
      <c r="A407" s="1" t="s">
        <v>472</v>
      </c>
      <c r="B407" s="2">
        <v>43764</v>
      </c>
      <c r="C407" s="1">
        <v>2019</v>
      </c>
      <c r="D407" s="1" t="s">
        <v>36</v>
      </c>
      <c r="E407" s="1" t="s">
        <v>77</v>
      </c>
      <c r="F407" s="1" t="s">
        <v>33</v>
      </c>
      <c r="G407" s="1" t="s">
        <v>27</v>
      </c>
      <c r="H407" s="1">
        <v>61.98</v>
      </c>
      <c r="I407" s="1">
        <v>335.56</v>
      </c>
      <c r="J407" s="1">
        <v>5414.01</v>
      </c>
      <c r="K407" s="1" t="s">
        <v>40</v>
      </c>
      <c r="L407" s="1" t="s">
        <v>22</v>
      </c>
      <c r="M407" s="1">
        <v>110.58</v>
      </c>
      <c r="N407" s="1">
        <v>466.26</v>
      </c>
      <c r="O407" s="1" t="s">
        <v>52</v>
      </c>
      <c r="P407" s="1">
        <v>24.85</v>
      </c>
    </row>
    <row r="408" spans="1:16" ht="13" x14ac:dyDescent="0.3">
      <c r="A408" s="1" t="s">
        <v>473</v>
      </c>
      <c r="B408" s="2">
        <v>42788</v>
      </c>
      <c r="C408" s="1">
        <v>2016</v>
      </c>
      <c r="D408" s="1" t="s">
        <v>25</v>
      </c>
      <c r="E408" s="1" t="s">
        <v>69</v>
      </c>
      <c r="F408" s="1" t="s">
        <v>38</v>
      </c>
      <c r="G408" s="1" t="s">
        <v>20</v>
      </c>
      <c r="H408" s="1">
        <v>35.479999999999997</v>
      </c>
      <c r="I408" s="1">
        <v>103.76</v>
      </c>
      <c r="J408" s="1">
        <v>2924.43</v>
      </c>
      <c r="K408" s="1" t="s">
        <v>21</v>
      </c>
      <c r="L408" s="1" t="s">
        <v>47</v>
      </c>
      <c r="M408" s="1">
        <v>242.42</v>
      </c>
      <c r="N408" s="1">
        <v>369.26</v>
      </c>
      <c r="O408" s="1" t="s">
        <v>70</v>
      </c>
      <c r="P408" s="1">
        <v>29.24</v>
      </c>
    </row>
    <row r="409" spans="1:16" ht="13" x14ac:dyDescent="0.3">
      <c r="A409" s="1" t="s">
        <v>474</v>
      </c>
      <c r="B409" s="2">
        <v>40403</v>
      </c>
      <c r="C409" s="1">
        <v>2010</v>
      </c>
      <c r="D409" s="1" t="s">
        <v>103</v>
      </c>
      <c r="E409" s="1" t="s">
        <v>107</v>
      </c>
      <c r="F409" s="1" t="s">
        <v>33</v>
      </c>
      <c r="G409" s="1" t="s">
        <v>56</v>
      </c>
      <c r="H409" s="1">
        <v>68.849999999999994</v>
      </c>
      <c r="I409" s="1">
        <v>133.29</v>
      </c>
      <c r="J409" s="1">
        <v>1935.95</v>
      </c>
      <c r="K409" s="1" t="s">
        <v>21</v>
      </c>
      <c r="L409" s="1" t="s">
        <v>22</v>
      </c>
      <c r="M409" s="1">
        <v>78.09</v>
      </c>
      <c r="N409" s="1">
        <v>254.54</v>
      </c>
      <c r="O409" s="1" t="s">
        <v>61</v>
      </c>
      <c r="P409" s="1">
        <v>33.9</v>
      </c>
    </row>
    <row r="410" spans="1:16" ht="13" x14ac:dyDescent="0.3">
      <c r="A410" s="1" t="s">
        <v>475</v>
      </c>
      <c r="B410" s="2">
        <v>44779</v>
      </c>
      <c r="C410" s="1">
        <v>2022</v>
      </c>
      <c r="D410" s="1" t="s">
        <v>31</v>
      </c>
      <c r="E410" s="1" t="s">
        <v>117</v>
      </c>
      <c r="F410" s="1" t="s">
        <v>33</v>
      </c>
      <c r="G410" s="1" t="s">
        <v>20</v>
      </c>
      <c r="H410" s="1">
        <v>45.56</v>
      </c>
      <c r="I410" s="1">
        <v>51.78</v>
      </c>
      <c r="J410" s="1">
        <v>1136.49</v>
      </c>
      <c r="K410" s="1" t="s">
        <v>40</v>
      </c>
      <c r="L410" s="1" t="s">
        <v>47</v>
      </c>
      <c r="M410" s="1">
        <v>235</v>
      </c>
      <c r="N410" s="1">
        <v>411.88</v>
      </c>
      <c r="O410" s="1" t="s">
        <v>61</v>
      </c>
      <c r="P410" s="1">
        <v>27.85</v>
      </c>
    </row>
    <row r="411" spans="1:16" ht="13" x14ac:dyDescent="0.3">
      <c r="A411" s="1" t="s">
        <v>476</v>
      </c>
      <c r="B411" s="2">
        <v>44417</v>
      </c>
      <c r="C411" s="1">
        <v>2021</v>
      </c>
      <c r="D411" s="1" t="s">
        <v>36</v>
      </c>
      <c r="E411" s="1" t="s">
        <v>77</v>
      </c>
      <c r="F411" s="1" t="s">
        <v>33</v>
      </c>
      <c r="G411" s="1" t="s">
        <v>39</v>
      </c>
      <c r="H411" s="1">
        <v>70.180000000000007</v>
      </c>
      <c r="I411" s="1">
        <v>77.92</v>
      </c>
      <c r="J411" s="1">
        <v>1110.33</v>
      </c>
      <c r="K411" s="1" t="s">
        <v>21</v>
      </c>
      <c r="L411" s="1" t="s">
        <v>22</v>
      </c>
      <c r="M411" s="1">
        <v>113.86</v>
      </c>
      <c r="N411" s="1">
        <v>260.11</v>
      </c>
      <c r="O411" s="1" t="s">
        <v>42</v>
      </c>
      <c r="P411" s="1">
        <v>31.84</v>
      </c>
    </row>
    <row r="412" spans="1:16" ht="13" x14ac:dyDescent="0.3">
      <c r="A412" s="1" t="s">
        <v>477</v>
      </c>
      <c r="B412" s="2">
        <v>40427</v>
      </c>
      <c r="C412" s="1">
        <v>2010</v>
      </c>
      <c r="D412" s="1" t="s">
        <v>36</v>
      </c>
      <c r="E412" s="1" t="s">
        <v>77</v>
      </c>
      <c r="F412" s="1" t="s">
        <v>33</v>
      </c>
      <c r="G412" s="1" t="s">
        <v>46</v>
      </c>
      <c r="H412" s="1">
        <v>66.38</v>
      </c>
      <c r="I412" s="1">
        <v>330.43</v>
      </c>
      <c r="J412" s="1">
        <v>4977.8900000000003</v>
      </c>
      <c r="K412" s="1" t="s">
        <v>34</v>
      </c>
      <c r="L412" s="1" t="s">
        <v>47</v>
      </c>
      <c r="M412" s="1">
        <v>266.07</v>
      </c>
      <c r="N412" s="1">
        <v>219.08</v>
      </c>
      <c r="O412" s="1" t="s">
        <v>52</v>
      </c>
      <c r="P412" s="1">
        <v>23.47</v>
      </c>
    </row>
    <row r="413" spans="1:16" ht="13" x14ac:dyDescent="0.3">
      <c r="A413" s="1" t="s">
        <v>478</v>
      </c>
      <c r="B413" s="2">
        <v>42444</v>
      </c>
      <c r="C413" s="1">
        <v>2015</v>
      </c>
      <c r="D413" s="1" t="s">
        <v>17</v>
      </c>
      <c r="E413" s="1" t="s">
        <v>18</v>
      </c>
      <c r="F413" s="1" t="s">
        <v>38</v>
      </c>
      <c r="G413" s="1" t="s">
        <v>27</v>
      </c>
      <c r="H413" s="1">
        <v>53.62</v>
      </c>
      <c r="I413" s="1">
        <v>113.59</v>
      </c>
      <c r="J413" s="1">
        <v>2118.5</v>
      </c>
      <c r="K413" s="1" t="s">
        <v>28</v>
      </c>
      <c r="L413" s="1" t="s">
        <v>49</v>
      </c>
      <c r="M413" s="1">
        <v>190.17</v>
      </c>
      <c r="N413" s="1">
        <v>912.47</v>
      </c>
      <c r="O413" s="1" t="s">
        <v>23</v>
      </c>
      <c r="P413" s="1">
        <v>23.71</v>
      </c>
    </row>
    <row r="414" spans="1:16" ht="13" x14ac:dyDescent="0.3">
      <c r="A414" s="1" t="s">
        <v>479</v>
      </c>
      <c r="B414" s="2">
        <v>42464</v>
      </c>
      <c r="C414" s="1">
        <v>2016</v>
      </c>
      <c r="D414" s="1" t="s">
        <v>31</v>
      </c>
      <c r="E414" s="1" t="s">
        <v>32</v>
      </c>
      <c r="F414" s="1" t="s">
        <v>19</v>
      </c>
      <c r="G414" s="1" t="s">
        <v>56</v>
      </c>
      <c r="H414" s="1">
        <v>2.82</v>
      </c>
      <c r="I414" s="1">
        <v>14.4</v>
      </c>
      <c r="J414" s="1">
        <v>5105.87</v>
      </c>
      <c r="K414" s="1" t="s">
        <v>34</v>
      </c>
      <c r="L414" s="1" t="s">
        <v>49</v>
      </c>
      <c r="M414" s="1">
        <v>206.31</v>
      </c>
      <c r="N414" s="1">
        <v>436.2</v>
      </c>
      <c r="O414" s="1" t="s">
        <v>61</v>
      </c>
      <c r="P414" s="1">
        <v>24.14</v>
      </c>
    </row>
    <row r="415" spans="1:16" ht="13" x14ac:dyDescent="0.3">
      <c r="A415" s="1" t="s">
        <v>480</v>
      </c>
      <c r="B415" s="2">
        <v>43463</v>
      </c>
      <c r="C415" s="1">
        <v>2018</v>
      </c>
      <c r="D415" s="1" t="s">
        <v>36</v>
      </c>
      <c r="E415" s="1" t="s">
        <v>37</v>
      </c>
      <c r="F415" s="1" t="s">
        <v>38</v>
      </c>
      <c r="G415" s="1" t="s">
        <v>56</v>
      </c>
      <c r="H415" s="1">
        <v>16.02</v>
      </c>
      <c r="I415" s="1">
        <v>102.26</v>
      </c>
      <c r="J415" s="1">
        <v>6383.05</v>
      </c>
      <c r="K415" s="1" t="s">
        <v>40</v>
      </c>
      <c r="L415" s="1" t="s">
        <v>29</v>
      </c>
      <c r="M415" s="1">
        <v>71.95</v>
      </c>
      <c r="N415" s="1">
        <v>582.21</v>
      </c>
      <c r="O415" s="1" t="s">
        <v>61</v>
      </c>
      <c r="P415" s="1">
        <v>33.090000000000003</v>
      </c>
    </row>
    <row r="416" spans="1:16" ht="13" x14ac:dyDescent="0.3">
      <c r="A416" s="1" t="s">
        <v>481</v>
      </c>
      <c r="B416" s="2">
        <v>41265</v>
      </c>
      <c r="C416" s="1">
        <v>2012</v>
      </c>
      <c r="D416" s="1" t="s">
        <v>103</v>
      </c>
      <c r="E416" s="1" t="s">
        <v>228</v>
      </c>
      <c r="F416" s="1" t="s">
        <v>38</v>
      </c>
      <c r="G416" s="1" t="s">
        <v>20</v>
      </c>
      <c r="H416" s="1">
        <v>91.06</v>
      </c>
      <c r="I416" s="1">
        <v>270.97000000000003</v>
      </c>
      <c r="J416" s="1">
        <v>2975.71</v>
      </c>
      <c r="K416" s="1" t="s">
        <v>40</v>
      </c>
      <c r="L416" s="1" t="s">
        <v>41</v>
      </c>
      <c r="M416" s="1">
        <v>101.69</v>
      </c>
      <c r="N416" s="1">
        <v>338.58</v>
      </c>
      <c r="O416" s="1" t="s">
        <v>61</v>
      </c>
      <c r="P416" s="1">
        <v>30.26</v>
      </c>
    </row>
    <row r="417" spans="1:16" ht="13" x14ac:dyDescent="0.3">
      <c r="A417" s="1" t="s">
        <v>482</v>
      </c>
      <c r="B417" s="2">
        <v>44322</v>
      </c>
      <c r="C417" s="1">
        <v>2021</v>
      </c>
      <c r="D417" s="1" t="s">
        <v>31</v>
      </c>
      <c r="E417" s="1" t="s">
        <v>117</v>
      </c>
      <c r="F417" s="1" t="s">
        <v>19</v>
      </c>
      <c r="G417" s="1" t="s">
        <v>56</v>
      </c>
      <c r="H417" s="1">
        <v>43.58</v>
      </c>
      <c r="I417" s="1">
        <v>281.27</v>
      </c>
      <c r="J417" s="1">
        <v>6454.01</v>
      </c>
      <c r="K417" s="1" t="s">
        <v>40</v>
      </c>
      <c r="L417" s="1" t="s">
        <v>47</v>
      </c>
      <c r="M417" s="1">
        <v>214.06</v>
      </c>
      <c r="N417" s="1">
        <v>764.84</v>
      </c>
      <c r="O417" s="1" t="s">
        <v>42</v>
      </c>
      <c r="P417" s="1">
        <v>24.76</v>
      </c>
    </row>
    <row r="418" spans="1:16" ht="13" x14ac:dyDescent="0.3">
      <c r="A418" s="1" t="s">
        <v>483</v>
      </c>
      <c r="B418" s="2">
        <v>41262</v>
      </c>
      <c r="C418" s="1">
        <v>2012</v>
      </c>
      <c r="D418" s="1" t="s">
        <v>17</v>
      </c>
      <c r="E418" s="1" t="s">
        <v>18</v>
      </c>
      <c r="F418" s="1" t="s">
        <v>38</v>
      </c>
      <c r="G418" s="1" t="s">
        <v>56</v>
      </c>
      <c r="H418" s="1">
        <v>72.98</v>
      </c>
      <c r="I418" s="1">
        <v>408.15</v>
      </c>
      <c r="J418" s="1">
        <v>5592.61</v>
      </c>
      <c r="K418" s="1" t="s">
        <v>28</v>
      </c>
      <c r="L418" s="1" t="s">
        <v>22</v>
      </c>
      <c r="M418" s="1">
        <v>290.3</v>
      </c>
      <c r="N418" s="1">
        <v>503.35</v>
      </c>
      <c r="O418" s="1" t="s">
        <v>70</v>
      </c>
      <c r="P418" s="1">
        <v>22.28</v>
      </c>
    </row>
    <row r="419" spans="1:16" ht="13" x14ac:dyDescent="0.3">
      <c r="A419" s="1" t="s">
        <v>484</v>
      </c>
      <c r="B419" s="2">
        <v>40313</v>
      </c>
      <c r="C419" s="1">
        <v>2010</v>
      </c>
      <c r="D419" s="1" t="s">
        <v>103</v>
      </c>
      <c r="E419" s="1" t="s">
        <v>104</v>
      </c>
      <c r="F419" s="1" t="s">
        <v>19</v>
      </c>
      <c r="G419" s="1" t="s">
        <v>27</v>
      </c>
      <c r="H419" s="1">
        <v>27.42</v>
      </c>
      <c r="I419" s="1">
        <v>120.71</v>
      </c>
      <c r="J419" s="1">
        <v>4402.26</v>
      </c>
      <c r="K419" s="1" t="s">
        <v>40</v>
      </c>
      <c r="L419" s="1" t="s">
        <v>29</v>
      </c>
      <c r="M419" s="1">
        <v>199.09</v>
      </c>
      <c r="N419" s="1">
        <v>430.91</v>
      </c>
      <c r="O419" s="1" t="s">
        <v>23</v>
      </c>
      <c r="P419" s="1">
        <v>25.39</v>
      </c>
    </row>
    <row r="420" spans="1:16" ht="13" x14ac:dyDescent="0.3">
      <c r="A420" s="1" t="s">
        <v>485</v>
      </c>
      <c r="B420" s="2">
        <v>43874</v>
      </c>
      <c r="C420" s="1">
        <v>2019</v>
      </c>
      <c r="D420" s="1" t="s">
        <v>103</v>
      </c>
      <c r="E420" s="1" t="s">
        <v>228</v>
      </c>
      <c r="F420" s="1" t="s">
        <v>38</v>
      </c>
      <c r="G420" s="1" t="s">
        <v>39</v>
      </c>
      <c r="H420" s="1">
        <v>65.31</v>
      </c>
      <c r="I420" s="1">
        <v>137.4</v>
      </c>
      <c r="J420" s="1">
        <v>2103.86</v>
      </c>
      <c r="K420" s="1" t="s">
        <v>28</v>
      </c>
      <c r="L420" s="1" t="s">
        <v>22</v>
      </c>
      <c r="M420" s="1">
        <v>172.86</v>
      </c>
      <c r="N420" s="1">
        <v>337.51</v>
      </c>
      <c r="O420" s="1" t="s">
        <v>42</v>
      </c>
      <c r="P420" s="1">
        <v>23.39</v>
      </c>
    </row>
    <row r="421" spans="1:16" ht="13" x14ac:dyDescent="0.3">
      <c r="A421" s="1" t="s">
        <v>486</v>
      </c>
      <c r="B421" s="2">
        <v>41396</v>
      </c>
      <c r="C421" s="1">
        <v>2013</v>
      </c>
      <c r="D421" s="1" t="s">
        <v>31</v>
      </c>
      <c r="E421" s="1" t="s">
        <v>32</v>
      </c>
      <c r="F421" s="1" t="s">
        <v>19</v>
      </c>
      <c r="G421" s="1" t="s">
        <v>39</v>
      </c>
      <c r="H421" s="1">
        <v>98.84</v>
      </c>
      <c r="I421" s="1">
        <v>548.23</v>
      </c>
      <c r="J421" s="1">
        <v>5546.66</v>
      </c>
      <c r="K421" s="1" t="s">
        <v>21</v>
      </c>
      <c r="L421" s="1" t="s">
        <v>49</v>
      </c>
      <c r="M421" s="1">
        <v>94.27</v>
      </c>
      <c r="N421" s="1">
        <v>1154.7</v>
      </c>
      <c r="O421" s="1" t="s">
        <v>52</v>
      </c>
      <c r="P421" s="1">
        <v>33.01</v>
      </c>
    </row>
    <row r="422" spans="1:16" ht="13" x14ac:dyDescent="0.3">
      <c r="A422" s="1" t="s">
        <v>487</v>
      </c>
      <c r="B422" s="2">
        <v>41713</v>
      </c>
      <c r="C422" s="1">
        <v>2013</v>
      </c>
      <c r="D422" s="1" t="s">
        <v>44</v>
      </c>
      <c r="E422" s="1" t="s">
        <v>99</v>
      </c>
      <c r="F422" s="1" t="s">
        <v>38</v>
      </c>
      <c r="G422" s="1" t="s">
        <v>46</v>
      </c>
      <c r="H422" s="1">
        <v>77.849999999999994</v>
      </c>
      <c r="I422" s="1">
        <v>361.81</v>
      </c>
      <c r="J422" s="1">
        <v>4647.58</v>
      </c>
      <c r="K422" s="1" t="s">
        <v>28</v>
      </c>
      <c r="L422" s="1" t="s">
        <v>22</v>
      </c>
      <c r="M422" s="1">
        <v>230.05</v>
      </c>
      <c r="N422" s="1">
        <v>594.15</v>
      </c>
      <c r="O422" s="1" t="s">
        <v>61</v>
      </c>
      <c r="P422" s="1">
        <v>28.91</v>
      </c>
    </row>
    <row r="423" spans="1:16" ht="13" x14ac:dyDescent="0.3">
      <c r="A423" s="1" t="s">
        <v>488</v>
      </c>
      <c r="B423" s="2">
        <v>43052</v>
      </c>
      <c r="C423" s="1">
        <v>2017</v>
      </c>
      <c r="D423" s="1" t="s">
        <v>59</v>
      </c>
      <c r="E423" s="1" t="s">
        <v>60</v>
      </c>
      <c r="F423" s="1" t="s">
        <v>38</v>
      </c>
      <c r="G423" s="1" t="s">
        <v>64</v>
      </c>
      <c r="H423" s="1">
        <v>87.9</v>
      </c>
      <c r="I423" s="1">
        <v>217.49</v>
      </c>
      <c r="J423" s="1">
        <v>2474.33</v>
      </c>
      <c r="K423" s="1" t="s">
        <v>28</v>
      </c>
      <c r="L423" s="1" t="s">
        <v>41</v>
      </c>
      <c r="M423" s="1">
        <v>295.95999999999998</v>
      </c>
      <c r="N423" s="1">
        <v>239.25</v>
      </c>
      <c r="O423" s="1" t="s">
        <v>52</v>
      </c>
      <c r="P423" s="1">
        <v>27.74</v>
      </c>
    </row>
    <row r="424" spans="1:16" ht="13" x14ac:dyDescent="0.3">
      <c r="A424" s="1" t="s">
        <v>489</v>
      </c>
      <c r="B424" s="2">
        <v>42790</v>
      </c>
      <c r="C424" s="1">
        <v>2016</v>
      </c>
      <c r="D424" s="1" t="s">
        <v>31</v>
      </c>
      <c r="E424" s="1" t="s">
        <v>32</v>
      </c>
      <c r="F424" s="1" t="s">
        <v>38</v>
      </c>
      <c r="G424" s="1" t="s">
        <v>20</v>
      </c>
      <c r="H424" s="1">
        <v>46.67</v>
      </c>
      <c r="I424" s="1">
        <v>164.97</v>
      </c>
      <c r="J424" s="1">
        <v>3534.77</v>
      </c>
      <c r="K424" s="1" t="s">
        <v>21</v>
      </c>
      <c r="L424" s="1" t="s">
        <v>22</v>
      </c>
      <c r="M424" s="1">
        <v>222.49</v>
      </c>
      <c r="N424" s="1">
        <v>1103.68</v>
      </c>
      <c r="O424" s="1" t="s">
        <v>52</v>
      </c>
      <c r="P424" s="1">
        <v>32.450000000000003</v>
      </c>
    </row>
    <row r="425" spans="1:16" ht="13" x14ac:dyDescent="0.3">
      <c r="A425" s="1" t="s">
        <v>490</v>
      </c>
      <c r="B425" s="2">
        <v>40846</v>
      </c>
      <c r="C425" s="1">
        <v>2011</v>
      </c>
      <c r="D425" s="1" t="s">
        <v>17</v>
      </c>
      <c r="E425" s="1" t="s">
        <v>54</v>
      </c>
      <c r="F425" s="1" t="s">
        <v>33</v>
      </c>
      <c r="G425" s="1" t="s">
        <v>27</v>
      </c>
      <c r="H425" s="1">
        <v>93.85</v>
      </c>
      <c r="I425" s="1">
        <v>485.83</v>
      </c>
      <c r="J425" s="1">
        <v>5176.68</v>
      </c>
      <c r="K425" s="1" t="s">
        <v>40</v>
      </c>
      <c r="L425" s="1" t="s">
        <v>41</v>
      </c>
      <c r="M425" s="1">
        <v>148.27000000000001</v>
      </c>
      <c r="N425" s="1">
        <v>523.46</v>
      </c>
      <c r="O425" s="1" t="s">
        <v>23</v>
      </c>
      <c r="P425" s="1">
        <v>22.68</v>
      </c>
    </row>
    <row r="426" spans="1:16" ht="13" x14ac:dyDescent="0.3">
      <c r="A426" s="1" t="s">
        <v>491</v>
      </c>
      <c r="B426" s="2">
        <v>42036</v>
      </c>
      <c r="C426" s="1">
        <v>2014</v>
      </c>
      <c r="D426" s="1" t="s">
        <v>36</v>
      </c>
      <c r="E426" s="1" t="s">
        <v>37</v>
      </c>
      <c r="F426" s="1" t="s">
        <v>38</v>
      </c>
      <c r="G426" s="1" t="s">
        <v>39</v>
      </c>
      <c r="H426" s="1">
        <v>65.209999999999994</v>
      </c>
      <c r="I426" s="1">
        <v>343.58</v>
      </c>
      <c r="J426" s="1">
        <v>5268.82</v>
      </c>
      <c r="K426" s="1" t="s">
        <v>40</v>
      </c>
      <c r="L426" s="1" t="s">
        <v>22</v>
      </c>
      <c r="M426" s="1">
        <v>229.59</v>
      </c>
      <c r="N426" s="1">
        <v>323.54000000000002</v>
      </c>
      <c r="O426" s="1" t="s">
        <v>23</v>
      </c>
      <c r="P426" s="1">
        <v>30.59</v>
      </c>
    </row>
    <row r="427" spans="1:16" ht="13" x14ac:dyDescent="0.3">
      <c r="A427" s="1" t="s">
        <v>492</v>
      </c>
      <c r="B427" s="2">
        <v>42503</v>
      </c>
      <c r="C427" s="1">
        <v>2016</v>
      </c>
      <c r="D427" s="1" t="s">
        <v>59</v>
      </c>
      <c r="E427" s="1" t="s">
        <v>93</v>
      </c>
      <c r="F427" s="1" t="s">
        <v>19</v>
      </c>
      <c r="G427" s="1" t="s">
        <v>27</v>
      </c>
      <c r="H427" s="1">
        <v>61.6</v>
      </c>
      <c r="I427" s="1">
        <v>120.7</v>
      </c>
      <c r="J427" s="1">
        <v>1959.4</v>
      </c>
      <c r="K427" s="1" t="s">
        <v>28</v>
      </c>
      <c r="L427" s="1" t="s">
        <v>41</v>
      </c>
      <c r="M427" s="1">
        <v>60.98</v>
      </c>
      <c r="N427" s="1">
        <v>370.88</v>
      </c>
      <c r="O427" s="1" t="s">
        <v>70</v>
      </c>
      <c r="P427" s="1">
        <v>28.48</v>
      </c>
    </row>
    <row r="428" spans="1:16" ht="13" x14ac:dyDescent="0.3">
      <c r="A428" s="1" t="s">
        <v>493</v>
      </c>
      <c r="B428" s="2">
        <v>41000</v>
      </c>
      <c r="C428" s="1">
        <v>2012</v>
      </c>
      <c r="D428" s="1" t="s">
        <v>103</v>
      </c>
      <c r="E428" s="1" t="s">
        <v>104</v>
      </c>
      <c r="F428" s="1" t="s">
        <v>19</v>
      </c>
      <c r="G428" s="1" t="s">
        <v>64</v>
      </c>
      <c r="H428" s="1">
        <v>42.54</v>
      </c>
      <c r="I428" s="1">
        <v>121.54</v>
      </c>
      <c r="J428" s="1">
        <v>2857.11</v>
      </c>
      <c r="K428" s="1" t="s">
        <v>28</v>
      </c>
      <c r="L428" s="1" t="s">
        <v>47</v>
      </c>
      <c r="M428" s="1">
        <v>122.2</v>
      </c>
      <c r="N428" s="1">
        <v>380.7</v>
      </c>
      <c r="O428" s="1" t="s">
        <v>42</v>
      </c>
      <c r="P428" s="1">
        <v>34.409999999999997</v>
      </c>
    </row>
    <row r="429" spans="1:16" ht="13" x14ac:dyDescent="0.3">
      <c r="A429" s="1" t="s">
        <v>494</v>
      </c>
      <c r="B429" s="2">
        <v>40604</v>
      </c>
      <c r="C429" s="1">
        <v>2010</v>
      </c>
      <c r="D429" s="1" t="s">
        <v>44</v>
      </c>
      <c r="E429" s="1" t="s">
        <v>99</v>
      </c>
      <c r="F429" s="1" t="s">
        <v>38</v>
      </c>
      <c r="G429" s="1" t="s">
        <v>46</v>
      </c>
      <c r="H429" s="1">
        <v>85.69</v>
      </c>
      <c r="I429" s="1">
        <v>365.13</v>
      </c>
      <c r="J429" s="1">
        <v>4261.01</v>
      </c>
      <c r="K429" s="1" t="s">
        <v>21</v>
      </c>
      <c r="L429" s="1" t="s">
        <v>29</v>
      </c>
      <c r="M429" s="1">
        <v>202</v>
      </c>
      <c r="N429" s="1">
        <v>693.47</v>
      </c>
      <c r="O429" s="1" t="s">
        <v>42</v>
      </c>
      <c r="P429" s="1">
        <v>28.83</v>
      </c>
    </row>
    <row r="430" spans="1:16" ht="13" x14ac:dyDescent="0.3">
      <c r="A430" s="1" t="s">
        <v>495</v>
      </c>
      <c r="B430" s="2">
        <v>40643</v>
      </c>
      <c r="C430" s="1">
        <v>2011</v>
      </c>
      <c r="D430" s="1" t="s">
        <v>36</v>
      </c>
      <c r="E430" s="1" t="s">
        <v>51</v>
      </c>
      <c r="F430" s="1" t="s">
        <v>19</v>
      </c>
      <c r="G430" s="1" t="s">
        <v>27</v>
      </c>
      <c r="H430" s="1">
        <v>1.65</v>
      </c>
      <c r="I430" s="1">
        <v>10.38</v>
      </c>
      <c r="J430" s="1">
        <v>6293.01</v>
      </c>
      <c r="K430" s="1" t="s">
        <v>34</v>
      </c>
      <c r="L430" s="1" t="s">
        <v>22</v>
      </c>
      <c r="M430" s="1">
        <v>204.94</v>
      </c>
      <c r="N430" s="1">
        <v>757.55</v>
      </c>
      <c r="O430" s="1" t="s">
        <v>42</v>
      </c>
      <c r="P430" s="1">
        <v>20.73</v>
      </c>
    </row>
    <row r="431" spans="1:16" ht="13" x14ac:dyDescent="0.3">
      <c r="A431" s="1" t="s">
        <v>496</v>
      </c>
      <c r="B431" s="2">
        <v>40375</v>
      </c>
      <c r="C431" s="1">
        <v>2010</v>
      </c>
      <c r="D431" s="1" t="s">
        <v>17</v>
      </c>
      <c r="E431" s="1" t="s">
        <v>72</v>
      </c>
      <c r="F431" s="1" t="s">
        <v>33</v>
      </c>
      <c r="G431" s="1" t="s">
        <v>64</v>
      </c>
      <c r="H431" s="1">
        <v>67.03</v>
      </c>
      <c r="I431" s="1">
        <v>404.06</v>
      </c>
      <c r="J431" s="1">
        <v>6028.09</v>
      </c>
      <c r="K431" s="1" t="s">
        <v>34</v>
      </c>
      <c r="L431" s="1" t="s">
        <v>41</v>
      </c>
      <c r="M431" s="1">
        <v>132.78</v>
      </c>
      <c r="N431" s="1">
        <v>287.7</v>
      </c>
      <c r="O431" s="1" t="s">
        <v>23</v>
      </c>
      <c r="P431" s="1">
        <v>26.25</v>
      </c>
    </row>
    <row r="432" spans="1:16" ht="13" x14ac:dyDescent="0.3">
      <c r="A432" s="1" t="s">
        <v>497</v>
      </c>
      <c r="B432" s="2">
        <v>43561</v>
      </c>
      <c r="C432" s="1">
        <v>2019</v>
      </c>
      <c r="D432" s="1" t="s">
        <v>17</v>
      </c>
      <c r="E432" s="1" t="s">
        <v>72</v>
      </c>
      <c r="F432" s="1" t="s">
        <v>19</v>
      </c>
      <c r="G432" s="1" t="s">
        <v>39</v>
      </c>
      <c r="H432" s="1">
        <v>70.28</v>
      </c>
      <c r="I432" s="1">
        <v>311.60000000000002</v>
      </c>
      <c r="J432" s="1">
        <v>4433.7</v>
      </c>
      <c r="K432" s="1" t="s">
        <v>40</v>
      </c>
      <c r="L432" s="1" t="s">
        <v>49</v>
      </c>
      <c r="M432" s="1">
        <v>291.57</v>
      </c>
      <c r="N432" s="1">
        <v>949.33</v>
      </c>
      <c r="O432" s="1" t="s">
        <v>70</v>
      </c>
      <c r="P432" s="1">
        <v>33.97</v>
      </c>
    </row>
    <row r="433" spans="1:16" ht="13" x14ac:dyDescent="0.3">
      <c r="A433" s="1" t="s">
        <v>498</v>
      </c>
      <c r="B433" s="2">
        <v>42627</v>
      </c>
      <c r="C433" s="1">
        <v>2016</v>
      </c>
      <c r="D433" s="1" t="s">
        <v>31</v>
      </c>
      <c r="E433" s="1" t="s">
        <v>32</v>
      </c>
      <c r="F433" s="1" t="s">
        <v>33</v>
      </c>
      <c r="G433" s="1" t="s">
        <v>46</v>
      </c>
      <c r="H433" s="1">
        <v>84.49</v>
      </c>
      <c r="I433" s="1">
        <v>117.4</v>
      </c>
      <c r="J433" s="1">
        <v>1389.56</v>
      </c>
      <c r="K433" s="1" t="s">
        <v>28</v>
      </c>
      <c r="L433" s="1" t="s">
        <v>47</v>
      </c>
      <c r="M433" s="1">
        <v>83.64</v>
      </c>
      <c r="N433" s="1">
        <v>894.62</v>
      </c>
      <c r="O433" s="1" t="s">
        <v>70</v>
      </c>
      <c r="P433" s="1">
        <v>24.94</v>
      </c>
    </row>
    <row r="434" spans="1:16" ht="13" x14ac:dyDescent="0.3">
      <c r="A434" s="1" t="s">
        <v>499</v>
      </c>
      <c r="B434" s="2">
        <v>41419</v>
      </c>
      <c r="C434" s="1">
        <v>2013</v>
      </c>
      <c r="D434" s="1" t="s">
        <v>103</v>
      </c>
      <c r="E434" s="1" t="s">
        <v>228</v>
      </c>
      <c r="F434" s="1" t="s">
        <v>19</v>
      </c>
      <c r="G434" s="1" t="s">
        <v>64</v>
      </c>
      <c r="H434" s="1">
        <v>11.82</v>
      </c>
      <c r="I434" s="1">
        <v>63.57</v>
      </c>
      <c r="J434" s="1">
        <v>5378.37</v>
      </c>
      <c r="K434" s="1" t="s">
        <v>21</v>
      </c>
      <c r="L434" s="1" t="s">
        <v>49</v>
      </c>
      <c r="M434" s="1">
        <v>170.92</v>
      </c>
      <c r="N434" s="1">
        <v>888.65</v>
      </c>
      <c r="O434" s="1" t="s">
        <v>70</v>
      </c>
      <c r="P434" s="1">
        <v>26.41</v>
      </c>
    </row>
    <row r="435" spans="1:16" ht="13" x14ac:dyDescent="0.3">
      <c r="A435" s="1" t="s">
        <v>500</v>
      </c>
      <c r="B435" s="2">
        <v>43612</v>
      </c>
      <c r="C435" s="1">
        <v>2019</v>
      </c>
      <c r="D435" s="1" t="s">
        <v>31</v>
      </c>
      <c r="E435" s="1" t="s">
        <v>117</v>
      </c>
      <c r="F435" s="1" t="s">
        <v>19</v>
      </c>
      <c r="G435" s="1" t="s">
        <v>20</v>
      </c>
      <c r="H435" s="1">
        <v>92.78</v>
      </c>
      <c r="I435" s="1">
        <v>434.74</v>
      </c>
      <c r="J435" s="1">
        <v>4685.74</v>
      </c>
      <c r="K435" s="1" t="s">
        <v>28</v>
      </c>
      <c r="L435" s="1" t="s">
        <v>47</v>
      </c>
      <c r="M435" s="1">
        <v>179.93</v>
      </c>
      <c r="N435" s="1">
        <v>831.86</v>
      </c>
      <c r="O435" s="1" t="s">
        <v>52</v>
      </c>
      <c r="P435" s="1">
        <v>32.119999999999997</v>
      </c>
    </row>
    <row r="436" spans="1:16" ht="13" x14ac:dyDescent="0.3">
      <c r="A436" s="1" t="s">
        <v>501</v>
      </c>
      <c r="B436" s="2">
        <v>41896</v>
      </c>
      <c r="C436" s="1">
        <v>2014</v>
      </c>
      <c r="D436" s="1" t="s">
        <v>103</v>
      </c>
      <c r="E436" s="1" t="s">
        <v>228</v>
      </c>
      <c r="F436" s="1" t="s">
        <v>33</v>
      </c>
      <c r="G436" s="1" t="s">
        <v>64</v>
      </c>
      <c r="H436" s="1">
        <v>12.7</v>
      </c>
      <c r="I436" s="1">
        <v>48.12</v>
      </c>
      <c r="J436" s="1">
        <v>3789.31</v>
      </c>
      <c r="K436" s="1" t="s">
        <v>21</v>
      </c>
      <c r="L436" s="1" t="s">
        <v>22</v>
      </c>
      <c r="M436" s="1">
        <v>234.37</v>
      </c>
      <c r="N436" s="1">
        <v>407.33</v>
      </c>
      <c r="O436" s="1" t="s">
        <v>61</v>
      </c>
      <c r="P436" s="1">
        <v>34.979999999999997</v>
      </c>
    </row>
    <row r="437" spans="1:16" ht="13" x14ac:dyDescent="0.3">
      <c r="A437" s="1" t="s">
        <v>502</v>
      </c>
      <c r="B437" s="2">
        <v>43211</v>
      </c>
      <c r="C437" s="1">
        <v>2018</v>
      </c>
      <c r="D437" s="1" t="s">
        <v>31</v>
      </c>
      <c r="E437" s="1" t="s">
        <v>32</v>
      </c>
      <c r="F437" s="1" t="s">
        <v>19</v>
      </c>
      <c r="G437" s="1" t="s">
        <v>56</v>
      </c>
      <c r="H437" s="1">
        <v>2.12</v>
      </c>
      <c r="I437" s="1">
        <v>4.68</v>
      </c>
      <c r="J437" s="1">
        <v>2207.12</v>
      </c>
      <c r="K437" s="1" t="s">
        <v>34</v>
      </c>
      <c r="L437" s="1" t="s">
        <v>22</v>
      </c>
      <c r="M437" s="1">
        <v>113.6</v>
      </c>
      <c r="N437" s="1">
        <v>267.83999999999997</v>
      </c>
      <c r="O437" s="1" t="s">
        <v>70</v>
      </c>
      <c r="P437" s="1">
        <v>27.6</v>
      </c>
    </row>
    <row r="438" spans="1:16" ht="13" x14ac:dyDescent="0.3">
      <c r="A438" s="1" t="s">
        <v>503</v>
      </c>
      <c r="B438" s="2">
        <v>42431</v>
      </c>
      <c r="C438" s="1">
        <v>2015</v>
      </c>
      <c r="D438" s="1" t="s">
        <v>25</v>
      </c>
      <c r="E438" s="1" t="s">
        <v>69</v>
      </c>
      <c r="F438" s="1" t="s">
        <v>38</v>
      </c>
      <c r="G438" s="1" t="s">
        <v>46</v>
      </c>
      <c r="H438" s="1">
        <v>72.72</v>
      </c>
      <c r="I438" s="1">
        <v>341.49</v>
      </c>
      <c r="J438" s="1">
        <v>4695.96</v>
      </c>
      <c r="K438" s="1" t="s">
        <v>21</v>
      </c>
      <c r="L438" s="1" t="s">
        <v>29</v>
      </c>
      <c r="M438" s="1">
        <v>258.01</v>
      </c>
      <c r="N438" s="1">
        <v>394.02</v>
      </c>
      <c r="O438" s="1" t="s">
        <v>70</v>
      </c>
      <c r="P438" s="1">
        <v>33.83</v>
      </c>
    </row>
    <row r="439" spans="1:16" ht="13" x14ac:dyDescent="0.3">
      <c r="A439" s="1" t="s">
        <v>504</v>
      </c>
      <c r="B439" s="2">
        <v>44059</v>
      </c>
      <c r="C439" s="1">
        <v>2020</v>
      </c>
      <c r="D439" s="1" t="s">
        <v>44</v>
      </c>
      <c r="E439" s="1" t="s">
        <v>45</v>
      </c>
      <c r="F439" s="1" t="s">
        <v>33</v>
      </c>
      <c r="G439" s="1" t="s">
        <v>46</v>
      </c>
      <c r="H439" s="1">
        <v>16.38</v>
      </c>
      <c r="I439" s="1">
        <v>61.65</v>
      </c>
      <c r="J439" s="1">
        <v>3763.71</v>
      </c>
      <c r="K439" s="1" t="s">
        <v>34</v>
      </c>
      <c r="L439" s="1" t="s">
        <v>47</v>
      </c>
      <c r="M439" s="1">
        <v>165.62</v>
      </c>
      <c r="N439" s="1">
        <v>1014.17</v>
      </c>
      <c r="O439" s="1" t="s">
        <v>23</v>
      </c>
      <c r="P439" s="1">
        <v>32.53</v>
      </c>
    </row>
    <row r="440" spans="1:16" ht="13" x14ac:dyDescent="0.3">
      <c r="A440" s="1" t="s">
        <v>505</v>
      </c>
      <c r="B440" s="2">
        <v>42104</v>
      </c>
      <c r="C440" s="1">
        <v>2015</v>
      </c>
      <c r="D440" s="1" t="s">
        <v>17</v>
      </c>
      <c r="E440" s="1" t="s">
        <v>54</v>
      </c>
      <c r="F440" s="1" t="s">
        <v>19</v>
      </c>
      <c r="G440" s="1" t="s">
        <v>27</v>
      </c>
      <c r="H440" s="1">
        <v>2.85</v>
      </c>
      <c r="I440" s="1">
        <v>12.72</v>
      </c>
      <c r="J440" s="1">
        <v>4464.3900000000003</v>
      </c>
      <c r="K440" s="1" t="s">
        <v>34</v>
      </c>
      <c r="L440" s="1" t="s">
        <v>49</v>
      </c>
      <c r="M440" s="1">
        <v>249.88</v>
      </c>
      <c r="N440" s="1">
        <v>1088.03</v>
      </c>
      <c r="O440" s="1" t="s">
        <v>70</v>
      </c>
      <c r="P440" s="1">
        <v>20.99</v>
      </c>
    </row>
    <row r="441" spans="1:16" ht="13" x14ac:dyDescent="0.3">
      <c r="A441" s="1" t="s">
        <v>506</v>
      </c>
      <c r="B441" s="2">
        <v>42389</v>
      </c>
      <c r="C441" s="1">
        <v>2015</v>
      </c>
      <c r="D441" s="1" t="s">
        <v>44</v>
      </c>
      <c r="E441" s="1" t="s">
        <v>45</v>
      </c>
      <c r="F441" s="1" t="s">
        <v>38</v>
      </c>
      <c r="G441" s="1" t="s">
        <v>39</v>
      </c>
      <c r="H441" s="1">
        <v>53.89</v>
      </c>
      <c r="I441" s="1">
        <v>107.55</v>
      </c>
      <c r="J441" s="1">
        <v>1995.82</v>
      </c>
      <c r="K441" s="1" t="s">
        <v>28</v>
      </c>
      <c r="L441" s="1" t="s">
        <v>22</v>
      </c>
      <c r="M441" s="1">
        <v>96.84</v>
      </c>
      <c r="N441" s="1">
        <v>316.83999999999997</v>
      </c>
      <c r="O441" s="1" t="s">
        <v>70</v>
      </c>
      <c r="P441" s="1">
        <v>30.58</v>
      </c>
    </row>
    <row r="442" spans="1:16" ht="13" x14ac:dyDescent="0.3">
      <c r="A442" s="1" t="s">
        <v>507</v>
      </c>
      <c r="B442" s="2">
        <v>40857</v>
      </c>
      <c r="C442" s="1">
        <v>2011</v>
      </c>
      <c r="D442" s="1" t="s">
        <v>31</v>
      </c>
      <c r="E442" s="1" t="s">
        <v>32</v>
      </c>
      <c r="F442" s="1" t="s">
        <v>38</v>
      </c>
      <c r="G442" s="1" t="s">
        <v>56</v>
      </c>
      <c r="H442" s="1">
        <v>37.79</v>
      </c>
      <c r="I442" s="1">
        <v>225.86</v>
      </c>
      <c r="J442" s="1">
        <v>5976.74</v>
      </c>
      <c r="K442" s="1" t="s">
        <v>34</v>
      </c>
      <c r="L442" s="1" t="s">
        <v>41</v>
      </c>
      <c r="M442" s="1">
        <v>104.03</v>
      </c>
      <c r="N442" s="1">
        <v>502.32</v>
      </c>
      <c r="O442" s="1" t="s">
        <v>23</v>
      </c>
      <c r="P442" s="1">
        <v>25.61</v>
      </c>
    </row>
    <row r="443" spans="1:16" ht="13" x14ac:dyDescent="0.3">
      <c r="A443" s="1" t="s">
        <v>508</v>
      </c>
      <c r="B443" s="2">
        <v>43335</v>
      </c>
      <c r="C443" s="1">
        <v>2018</v>
      </c>
      <c r="D443" s="1" t="s">
        <v>25</v>
      </c>
      <c r="E443" s="1" t="s">
        <v>87</v>
      </c>
      <c r="F443" s="1" t="s">
        <v>33</v>
      </c>
      <c r="G443" s="1" t="s">
        <v>46</v>
      </c>
      <c r="H443" s="1">
        <v>90.59</v>
      </c>
      <c r="I443" s="1">
        <v>174.34</v>
      </c>
      <c r="J443" s="1">
        <v>1924.47</v>
      </c>
      <c r="K443" s="1" t="s">
        <v>34</v>
      </c>
      <c r="L443" s="1" t="s">
        <v>41</v>
      </c>
      <c r="M443" s="1">
        <v>280.91000000000003</v>
      </c>
      <c r="N443" s="1">
        <v>932.44</v>
      </c>
      <c r="O443" s="1" t="s">
        <v>61</v>
      </c>
      <c r="P443" s="1">
        <v>24.66</v>
      </c>
    </row>
    <row r="444" spans="1:16" ht="13" x14ac:dyDescent="0.3">
      <c r="A444" s="1" t="s">
        <v>509</v>
      </c>
      <c r="B444" s="2">
        <v>43193</v>
      </c>
      <c r="C444" s="1">
        <v>2018</v>
      </c>
      <c r="D444" s="1" t="s">
        <v>44</v>
      </c>
      <c r="E444" s="1" t="s">
        <v>45</v>
      </c>
      <c r="F444" s="1" t="s">
        <v>19</v>
      </c>
      <c r="G444" s="1" t="s">
        <v>56</v>
      </c>
      <c r="H444" s="1">
        <v>21.31</v>
      </c>
      <c r="I444" s="1">
        <v>25.98</v>
      </c>
      <c r="J444" s="1">
        <v>1219.32</v>
      </c>
      <c r="K444" s="1" t="s">
        <v>28</v>
      </c>
      <c r="L444" s="1" t="s">
        <v>47</v>
      </c>
      <c r="M444" s="1">
        <v>228.42</v>
      </c>
      <c r="N444" s="1">
        <v>722.34</v>
      </c>
      <c r="O444" s="1" t="s">
        <v>23</v>
      </c>
      <c r="P444" s="1">
        <v>24.66</v>
      </c>
    </row>
    <row r="445" spans="1:16" ht="13" x14ac:dyDescent="0.3">
      <c r="A445" s="1" t="s">
        <v>510</v>
      </c>
      <c r="B445" s="2">
        <v>42358</v>
      </c>
      <c r="C445" s="1">
        <v>2015</v>
      </c>
      <c r="D445" s="1" t="s">
        <v>44</v>
      </c>
      <c r="E445" s="1" t="s">
        <v>45</v>
      </c>
      <c r="F445" s="1" t="s">
        <v>38</v>
      </c>
      <c r="G445" s="1" t="s">
        <v>64</v>
      </c>
      <c r="H445" s="1">
        <v>11.21</v>
      </c>
      <c r="I445" s="1">
        <v>62.74</v>
      </c>
      <c r="J445" s="1">
        <v>5597.08</v>
      </c>
      <c r="K445" s="1" t="s">
        <v>34</v>
      </c>
      <c r="L445" s="1" t="s">
        <v>49</v>
      </c>
      <c r="M445" s="1">
        <v>55.62</v>
      </c>
      <c r="N445" s="1">
        <v>958.49</v>
      </c>
      <c r="O445" s="1" t="s">
        <v>42</v>
      </c>
      <c r="P445" s="1">
        <v>24.81</v>
      </c>
    </row>
    <row r="446" spans="1:16" ht="13" x14ac:dyDescent="0.3">
      <c r="A446" s="1" t="s">
        <v>511</v>
      </c>
      <c r="B446" s="2">
        <v>42361</v>
      </c>
      <c r="C446" s="1">
        <v>2015</v>
      </c>
      <c r="D446" s="1" t="s">
        <v>31</v>
      </c>
      <c r="E446" s="1" t="s">
        <v>117</v>
      </c>
      <c r="F446" s="1" t="s">
        <v>38</v>
      </c>
      <c r="G446" s="1" t="s">
        <v>39</v>
      </c>
      <c r="H446" s="1">
        <v>12.65</v>
      </c>
      <c r="I446" s="1">
        <v>23.98</v>
      </c>
      <c r="J446" s="1">
        <v>1895.92</v>
      </c>
      <c r="K446" s="1" t="s">
        <v>34</v>
      </c>
      <c r="L446" s="1" t="s">
        <v>47</v>
      </c>
      <c r="M446" s="1">
        <v>78.62</v>
      </c>
      <c r="N446" s="1">
        <v>1158.3</v>
      </c>
      <c r="O446" s="1" t="s">
        <v>61</v>
      </c>
      <c r="P446" s="1">
        <v>27.71</v>
      </c>
    </row>
    <row r="447" spans="1:16" ht="13" x14ac:dyDescent="0.3">
      <c r="A447" s="1" t="s">
        <v>512</v>
      </c>
      <c r="B447" s="2">
        <v>42321</v>
      </c>
      <c r="C447" s="1">
        <v>2015</v>
      </c>
      <c r="D447" s="1" t="s">
        <v>31</v>
      </c>
      <c r="E447" s="1" t="s">
        <v>117</v>
      </c>
      <c r="F447" s="1" t="s">
        <v>38</v>
      </c>
      <c r="G447" s="1" t="s">
        <v>56</v>
      </c>
      <c r="H447" s="1">
        <v>94.38</v>
      </c>
      <c r="I447" s="1">
        <v>549.66999999999996</v>
      </c>
      <c r="J447" s="1">
        <v>5824.02</v>
      </c>
      <c r="K447" s="1" t="s">
        <v>40</v>
      </c>
      <c r="L447" s="1" t="s">
        <v>41</v>
      </c>
      <c r="M447" s="1">
        <v>92.82</v>
      </c>
      <c r="N447" s="1">
        <v>511.38</v>
      </c>
      <c r="O447" s="1" t="s">
        <v>70</v>
      </c>
      <c r="P447" s="1">
        <v>28.11</v>
      </c>
    </row>
    <row r="448" spans="1:16" ht="13" x14ac:dyDescent="0.3">
      <c r="A448" s="1" t="s">
        <v>513</v>
      </c>
      <c r="B448" s="2">
        <v>44097</v>
      </c>
      <c r="C448" s="1">
        <v>2020</v>
      </c>
      <c r="D448" s="1" t="s">
        <v>25</v>
      </c>
      <c r="E448" s="1" t="s">
        <v>87</v>
      </c>
      <c r="F448" s="1" t="s">
        <v>33</v>
      </c>
      <c r="G448" s="1" t="s">
        <v>64</v>
      </c>
      <c r="H448" s="1">
        <v>38.979999999999997</v>
      </c>
      <c r="I448" s="1">
        <v>59.12</v>
      </c>
      <c r="J448" s="1">
        <v>1516.72</v>
      </c>
      <c r="K448" s="1" t="s">
        <v>28</v>
      </c>
      <c r="L448" s="1" t="s">
        <v>47</v>
      </c>
      <c r="M448" s="1">
        <v>94.75</v>
      </c>
      <c r="N448" s="1">
        <v>796.12</v>
      </c>
      <c r="O448" s="1" t="s">
        <v>61</v>
      </c>
      <c r="P448" s="1">
        <v>29.44</v>
      </c>
    </row>
    <row r="449" spans="1:16" ht="13" x14ac:dyDescent="0.3">
      <c r="A449" s="1" t="s">
        <v>514</v>
      </c>
      <c r="B449" s="2">
        <v>42179</v>
      </c>
      <c r="C449" s="1">
        <v>2015</v>
      </c>
      <c r="D449" s="1" t="s">
        <v>31</v>
      </c>
      <c r="E449" s="1" t="s">
        <v>32</v>
      </c>
      <c r="F449" s="1" t="s">
        <v>33</v>
      </c>
      <c r="G449" s="1" t="s">
        <v>39</v>
      </c>
      <c r="H449" s="1">
        <v>76.08</v>
      </c>
      <c r="I449" s="1">
        <v>445.51</v>
      </c>
      <c r="J449" s="1">
        <v>5855.8</v>
      </c>
      <c r="K449" s="1" t="s">
        <v>21</v>
      </c>
      <c r="L449" s="1" t="s">
        <v>29</v>
      </c>
      <c r="M449" s="1">
        <v>293.42</v>
      </c>
      <c r="N449" s="1">
        <v>955.74</v>
      </c>
      <c r="O449" s="1" t="s">
        <v>52</v>
      </c>
      <c r="P449" s="1">
        <v>28.52</v>
      </c>
    </row>
    <row r="450" spans="1:16" ht="13" x14ac:dyDescent="0.3">
      <c r="A450" s="1" t="s">
        <v>515</v>
      </c>
      <c r="B450" s="2">
        <v>41753</v>
      </c>
      <c r="C450" s="1">
        <v>2014</v>
      </c>
      <c r="D450" s="1" t="s">
        <v>25</v>
      </c>
      <c r="E450" s="1" t="s">
        <v>87</v>
      </c>
      <c r="F450" s="1" t="s">
        <v>19</v>
      </c>
      <c r="G450" s="1" t="s">
        <v>39</v>
      </c>
      <c r="H450" s="1">
        <v>71.31</v>
      </c>
      <c r="I450" s="1">
        <v>270.43</v>
      </c>
      <c r="J450" s="1">
        <v>3792.38</v>
      </c>
      <c r="K450" s="1" t="s">
        <v>40</v>
      </c>
      <c r="L450" s="1" t="s">
        <v>29</v>
      </c>
      <c r="M450" s="1">
        <v>286.86</v>
      </c>
      <c r="N450" s="1">
        <v>343.72</v>
      </c>
      <c r="O450" s="1" t="s">
        <v>61</v>
      </c>
      <c r="P450" s="1">
        <v>23.87</v>
      </c>
    </row>
    <row r="451" spans="1:16" ht="13" x14ac:dyDescent="0.3">
      <c r="A451" s="1" t="s">
        <v>516</v>
      </c>
      <c r="B451" s="2">
        <v>44225</v>
      </c>
      <c r="C451" s="1">
        <v>2020</v>
      </c>
      <c r="D451" s="1" t="s">
        <v>103</v>
      </c>
      <c r="E451" s="1" t="s">
        <v>228</v>
      </c>
      <c r="F451" s="1" t="s">
        <v>38</v>
      </c>
      <c r="G451" s="1" t="s">
        <v>20</v>
      </c>
      <c r="H451" s="1">
        <v>45.88</v>
      </c>
      <c r="I451" s="1">
        <v>54.21</v>
      </c>
      <c r="J451" s="1">
        <v>1181.58</v>
      </c>
      <c r="K451" s="1" t="s">
        <v>28</v>
      </c>
      <c r="L451" s="1" t="s">
        <v>47</v>
      </c>
      <c r="M451" s="1">
        <v>78.22</v>
      </c>
      <c r="N451" s="1">
        <v>678.65</v>
      </c>
      <c r="O451" s="1" t="s">
        <v>42</v>
      </c>
      <c r="P451" s="1">
        <v>24.23</v>
      </c>
    </row>
    <row r="452" spans="1:16" ht="13" x14ac:dyDescent="0.3">
      <c r="A452" s="1" t="s">
        <v>517</v>
      </c>
      <c r="B452" s="2">
        <v>43354</v>
      </c>
      <c r="C452" s="1">
        <v>2018</v>
      </c>
      <c r="D452" s="1" t="s">
        <v>59</v>
      </c>
      <c r="E452" s="1" t="s">
        <v>60</v>
      </c>
      <c r="F452" s="1" t="s">
        <v>33</v>
      </c>
      <c r="G452" s="1" t="s">
        <v>46</v>
      </c>
      <c r="H452" s="1">
        <v>81.94</v>
      </c>
      <c r="I452" s="1">
        <v>473.66</v>
      </c>
      <c r="J452" s="1">
        <v>5780.55</v>
      </c>
      <c r="K452" s="1" t="s">
        <v>34</v>
      </c>
      <c r="L452" s="1" t="s">
        <v>47</v>
      </c>
      <c r="M452" s="1">
        <v>189.04</v>
      </c>
      <c r="N452" s="1">
        <v>270.92</v>
      </c>
      <c r="O452" s="1" t="s">
        <v>70</v>
      </c>
      <c r="P452" s="1">
        <v>27.99</v>
      </c>
    </row>
    <row r="453" spans="1:16" ht="13" x14ac:dyDescent="0.3">
      <c r="A453" s="1" t="s">
        <v>518</v>
      </c>
      <c r="B453" s="2">
        <v>43728</v>
      </c>
      <c r="C453" s="1">
        <v>2019</v>
      </c>
      <c r="D453" s="1" t="s">
        <v>36</v>
      </c>
      <c r="E453" s="1" t="s">
        <v>37</v>
      </c>
      <c r="F453" s="1" t="s">
        <v>33</v>
      </c>
      <c r="G453" s="1" t="s">
        <v>27</v>
      </c>
      <c r="H453" s="1">
        <v>16.739999999999998</v>
      </c>
      <c r="I453" s="1">
        <v>65.19</v>
      </c>
      <c r="J453" s="1">
        <v>3894.25</v>
      </c>
      <c r="K453" s="1" t="s">
        <v>21</v>
      </c>
      <c r="L453" s="1" t="s">
        <v>47</v>
      </c>
      <c r="M453" s="1">
        <v>135.18</v>
      </c>
      <c r="N453" s="1">
        <v>1013.92</v>
      </c>
      <c r="O453" s="1" t="s">
        <v>61</v>
      </c>
      <c r="P453" s="1">
        <v>26.47</v>
      </c>
    </row>
    <row r="454" spans="1:16" ht="13" x14ac:dyDescent="0.3">
      <c r="A454" s="1" t="s">
        <v>519</v>
      </c>
      <c r="B454" s="2">
        <v>43243</v>
      </c>
      <c r="C454" s="1">
        <v>2018</v>
      </c>
      <c r="D454" s="1" t="s">
        <v>44</v>
      </c>
      <c r="E454" s="1" t="s">
        <v>99</v>
      </c>
      <c r="F454" s="1" t="s">
        <v>19</v>
      </c>
      <c r="G454" s="1" t="s">
        <v>56</v>
      </c>
      <c r="H454" s="1">
        <v>18.14</v>
      </c>
      <c r="I454" s="1">
        <v>91.02</v>
      </c>
      <c r="J454" s="1">
        <v>5017.63</v>
      </c>
      <c r="K454" s="1" t="s">
        <v>28</v>
      </c>
      <c r="L454" s="1" t="s">
        <v>29</v>
      </c>
      <c r="M454" s="1">
        <v>78.58</v>
      </c>
      <c r="N454" s="1">
        <v>796.08</v>
      </c>
      <c r="O454" s="1" t="s">
        <v>70</v>
      </c>
      <c r="P454" s="1">
        <v>28.33</v>
      </c>
    </row>
    <row r="455" spans="1:16" ht="13" x14ac:dyDescent="0.3">
      <c r="A455" s="1" t="s">
        <v>520</v>
      </c>
      <c r="B455" s="2">
        <v>42557</v>
      </c>
      <c r="C455" s="1">
        <v>2016</v>
      </c>
      <c r="D455" s="1" t="s">
        <v>103</v>
      </c>
      <c r="E455" s="1" t="s">
        <v>107</v>
      </c>
      <c r="F455" s="1" t="s">
        <v>33</v>
      </c>
      <c r="G455" s="1" t="s">
        <v>27</v>
      </c>
      <c r="H455" s="1">
        <v>11.77</v>
      </c>
      <c r="I455" s="1">
        <v>69.260000000000005</v>
      </c>
      <c r="J455" s="1">
        <v>5884.4</v>
      </c>
      <c r="K455" s="1" t="s">
        <v>28</v>
      </c>
      <c r="L455" s="1" t="s">
        <v>47</v>
      </c>
      <c r="M455" s="1">
        <v>131.85</v>
      </c>
      <c r="N455" s="1">
        <v>844.99</v>
      </c>
      <c r="O455" s="1" t="s">
        <v>23</v>
      </c>
      <c r="P455" s="1">
        <v>21.36</v>
      </c>
    </row>
    <row r="456" spans="1:16" ht="13" x14ac:dyDescent="0.3">
      <c r="A456" s="1" t="s">
        <v>521</v>
      </c>
      <c r="B456" s="2">
        <v>44794</v>
      </c>
      <c r="C456" s="1">
        <v>2022</v>
      </c>
      <c r="D456" s="1" t="s">
        <v>44</v>
      </c>
      <c r="E456" s="1" t="s">
        <v>67</v>
      </c>
      <c r="F456" s="1" t="s">
        <v>33</v>
      </c>
      <c r="G456" s="1" t="s">
        <v>56</v>
      </c>
      <c r="H456" s="1">
        <v>66.430000000000007</v>
      </c>
      <c r="I456" s="1">
        <v>246.98</v>
      </c>
      <c r="J456" s="1">
        <v>3717.85</v>
      </c>
      <c r="K456" s="1" t="s">
        <v>34</v>
      </c>
      <c r="L456" s="1" t="s">
        <v>49</v>
      </c>
      <c r="M456" s="1">
        <v>147.5</v>
      </c>
      <c r="N456" s="1">
        <v>777.93</v>
      </c>
      <c r="O456" s="1" t="s">
        <v>42</v>
      </c>
      <c r="P456" s="1">
        <v>23.08</v>
      </c>
    </row>
    <row r="457" spans="1:16" ht="13" x14ac:dyDescent="0.3">
      <c r="A457" s="1" t="s">
        <v>522</v>
      </c>
      <c r="B457" s="2">
        <v>41976</v>
      </c>
      <c r="C457" s="1">
        <v>2014</v>
      </c>
      <c r="D457" s="1" t="s">
        <v>59</v>
      </c>
      <c r="E457" s="1" t="s">
        <v>93</v>
      </c>
      <c r="F457" s="1" t="s">
        <v>38</v>
      </c>
      <c r="G457" s="1" t="s">
        <v>39</v>
      </c>
      <c r="H457" s="1">
        <v>98.28</v>
      </c>
      <c r="I457" s="1">
        <v>301.29000000000002</v>
      </c>
      <c r="J457" s="1">
        <v>3065.59</v>
      </c>
      <c r="K457" s="1" t="s">
        <v>21</v>
      </c>
      <c r="L457" s="1" t="s">
        <v>49</v>
      </c>
      <c r="M457" s="1">
        <v>195.68</v>
      </c>
      <c r="N457" s="1">
        <v>811.49</v>
      </c>
      <c r="O457" s="1" t="s">
        <v>61</v>
      </c>
      <c r="P457" s="1">
        <v>26.06</v>
      </c>
    </row>
    <row r="458" spans="1:16" ht="13" x14ac:dyDescent="0.3">
      <c r="A458" s="1" t="s">
        <v>523</v>
      </c>
      <c r="B458" s="2">
        <v>43403</v>
      </c>
      <c r="C458" s="1">
        <v>2018</v>
      </c>
      <c r="D458" s="1" t="s">
        <v>25</v>
      </c>
      <c r="E458" s="1" t="s">
        <v>87</v>
      </c>
      <c r="F458" s="1" t="s">
        <v>33</v>
      </c>
      <c r="G458" s="1" t="s">
        <v>64</v>
      </c>
      <c r="H458" s="1">
        <v>70.63</v>
      </c>
      <c r="I458" s="1">
        <v>418.45</v>
      </c>
      <c r="J458" s="1">
        <v>5924.52</v>
      </c>
      <c r="K458" s="1" t="s">
        <v>34</v>
      </c>
      <c r="L458" s="1" t="s">
        <v>29</v>
      </c>
      <c r="M458" s="1">
        <v>77.42</v>
      </c>
      <c r="N458" s="1">
        <v>482.21</v>
      </c>
      <c r="O458" s="1" t="s">
        <v>23</v>
      </c>
      <c r="P458" s="1">
        <v>23.53</v>
      </c>
    </row>
    <row r="459" spans="1:16" ht="13" x14ac:dyDescent="0.3">
      <c r="A459" s="1" t="s">
        <v>524</v>
      </c>
      <c r="B459" s="2">
        <v>44593</v>
      </c>
      <c r="C459" s="1">
        <v>2021</v>
      </c>
      <c r="D459" s="1" t="s">
        <v>17</v>
      </c>
      <c r="E459" s="1" t="s">
        <v>72</v>
      </c>
      <c r="F459" s="1" t="s">
        <v>38</v>
      </c>
      <c r="G459" s="1" t="s">
        <v>46</v>
      </c>
      <c r="H459" s="1">
        <v>38.770000000000003</v>
      </c>
      <c r="I459" s="1">
        <v>165.58</v>
      </c>
      <c r="J459" s="1">
        <v>4270.71</v>
      </c>
      <c r="K459" s="1" t="s">
        <v>40</v>
      </c>
      <c r="L459" s="1" t="s">
        <v>29</v>
      </c>
      <c r="M459" s="1">
        <v>168.72</v>
      </c>
      <c r="N459" s="1">
        <v>388.23</v>
      </c>
      <c r="O459" s="1" t="s">
        <v>52</v>
      </c>
      <c r="P459" s="1">
        <v>32.65</v>
      </c>
    </row>
    <row r="460" spans="1:16" ht="13" x14ac:dyDescent="0.3">
      <c r="A460" s="1" t="s">
        <v>525</v>
      </c>
      <c r="B460" s="2">
        <v>44017</v>
      </c>
      <c r="C460" s="1">
        <v>2020</v>
      </c>
      <c r="D460" s="1" t="s">
        <v>103</v>
      </c>
      <c r="E460" s="1" t="s">
        <v>107</v>
      </c>
      <c r="F460" s="1" t="s">
        <v>33</v>
      </c>
      <c r="G460" s="1" t="s">
        <v>56</v>
      </c>
      <c r="H460" s="1">
        <v>2.15</v>
      </c>
      <c r="I460" s="1">
        <v>10.51</v>
      </c>
      <c r="J460" s="1">
        <v>4890.34</v>
      </c>
      <c r="K460" s="1" t="s">
        <v>40</v>
      </c>
      <c r="L460" s="1" t="s">
        <v>22</v>
      </c>
      <c r="M460" s="1">
        <v>230.33</v>
      </c>
      <c r="N460" s="1">
        <v>686.7</v>
      </c>
      <c r="O460" s="1" t="s">
        <v>52</v>
      </c>
      <c r="P460" s="1">
        <v>34.619999999999997</v>
      </c>
    </row>
    <row r="461" spans="1:16" ht="13" x14ac:dyDescent="0.3">
      <c r="A461" s="1" t="s">
        <v>526</v>
      </c>
      <c r="B461" s="2">
        <v>44981</v>
      </c>
      <c r="C461" s="1">
        <v>2022</v>
      </c>
      <c r="D461" s="1" t="s">
        <v>103</v>
      </c>
      <c r="E461" s="1" t="s">
        <v>228</v>
      </c>
      <c r="F461" s="1" t="s">
        <v>38</v>
      </c>
      <c r="G461" s="1" t="s">
        <v>46</v>
      </c>
      <c r="H461" s="1">
        <v>89.46</v>
      </c>
      <c r="I461" s="1">
        <v>462.72</v>
      </c>
      <c r="J461" s="1">
        <v>5172.34</v>
      </c>
      <c r="K461" s="1" t="s">
        <v>28</v>
      </c>
      <c r="L461" s="1" t="s">
        <v>29</v>
      </c>
      <c r="M461" s="1">
        <v>205.81</v>
      </c>
      <c r="N461" s="1">
        <v>654.39</v>
      </c>
      <c r="O461" s="1" t="s">
        <v>52</v>
      </c>
      <c r="P461" s="1">
        <v>28.28</v>
      </c>
    </row>
    <row r="462" spans="1:16" ht="13" x14ac:dyDescent="0.3">
      <c r="A462" s="1" t="s">
        <v>527</v>
      </c>
      <c r="B462" s="2">
        <v>41222</v>
      </c>
      <c r="C462" s="1">
        <v>2012</v>
      </c>
      <c r="D462" s="1" t="s">
        <v>31</v>
      </c>
      <c r="E462" s="1" t="s">
        <v>82</v>
      </c>
      <c r="F462" s="1" t="s">
        <v>38</v>
      </c>
      <c r="G462" s="1" t="s">
        <v>27</v>
      </c>
      <c r="H462" s="1">
        <v>1.74</v>
      </c>
      <c r="I462" s="1">
        <v>6.94</v>
      </c>
      <c r="J462" s="1">
        <v>3988.94</v>
      </c>
      <c r="K462" s="1" t="s">
        <v>40</v>
      </c>
      <c r="L462" s="1" t="s">
        <v>22</v>
      </c>
      <c r="M462" s="1">
        <v>228.03</v>
      </c>
      <c r="N462" s="1">
        <v>469.25</v>
      </c>
      <c r="O462" s="1" t="s">
        <v>61</v>
      </c>
      <c r="P462" s="1">
        <v>28.65</v>
      </c>
    </row>
    <row r="463" spans="1:16" ht="13" x14ac:dyDescent="0.3">
      <c r="A463" s="1" t="s">
        <v>528</v>
      </c>
      <c r="B463" s="2">
        <v>44521</v>
      </c>
      <c r="C463" s="1">
        <v>2021</v>
      </c>
      <c r="D463" s="1" t="s">
        <v>59</v>
      </c>
      <c r="E463" s="1" t="s">
        <v>63</v>
      </c>
      <c r="F463" s="1" t="s">
        <v>38</v>
      </c>
      <c r="G463" s="1" t="s">
        <v>64</v>
      </c>
      <c r="H463" s="1">
        <v>58.45</v>
      </c>
      <c r="I463" s="1">
        <v>395.73</v>
      </c>
      <c r="J463" s="1">
        <v>6770.43</v>
      </c>
      <c r="K463" s="1" t="s">
        <v>21</v>
      </c>
      <c r="L463" s="1" t="s">
        <v>47</v>
      </c>
      <c r="M463" s="1">
        <v>85.52</v>
      </c>
      <c r="N463" s="1">
        <v>931.29</v>
      </c>
      <c r="O463" s="1" t="s">
        <v>70</v>
      </c>
      <c r="P463" s="1">
        <v>26.97</v>
      </c>
    </row>
    <row r="464" spans="1:16" ht="13" x14ac:dyDescent="0.3">
      <c r="A464" s="1" t="s">
        <v>529</v>
      </c>
      <c r="B464" s="2">
        <v>41592</v>
      </c>
      <c r="C464" s="1">
        <v>2013</v>
      </c>
      <c r="D464" s="1" t="s">
        <v>59</v>
      </c>
      <c r="E464" s="1" t="s">
        <v>60</v>
      </c>
      <c r="F464" s="1" t="s">
        <v>38</v>
      </c>
      <c r="G464" s="1" t="s">
        <v>39</v>
      </c>
      <c r="H464" s="1">
        <v>74.430000000000007</v>
      </c>
      <c r="I464" s="1">
        <v>503.33</v>
      </c>
      <c r="J464" s="1">
        <v>6762.47</v>
      </c>
      <c r="K464" s="1" t="s">
        <v>21</v>
      </c>
      <c r="L464" s="1" t="s">
        <v>49</v>
      </c>
      <c r="M464" s="1">
        <v>221.02</v>
      </c>
      <c r="N464" s="1">
        <v>739.2</v>
      </c>
      <c r="O464" s="1" t="s">
        <v>61</v>
      </c>
      <c r="P464" s="1">
        <v>24.69</v>
      </c>
    </row>
    <row r="465" spans="1:16" ht="13" x14ac:dyDescent="0.3">
      <c r="A465" s="1" t="s">
        <v>530</v>
      </c>
      <c r="B465" s="2">
        <v>43049</v>
      </c>
      <c r="C465" s="1">
        <v>2017</v>
      </c>
      <c r="D465" s="1" t="s">
        <v>59</v>
      </c>
      <c r="E465" s="1" t="s">
        <v>60</v>
      </c>
      <c r="F465" s="1" t="s">
        <v>38</v>
      </c>
      <c r="G465" s="1" t="s">
        <v>27</v>
      </c>
      <c r="H465" s="1">
        <v>90.7</v>
      </c>
      <c r="I465" s="1">
        <v>403.05</v>
      </c>
      <c r="J465" s="1">
        <v>4443.79</v>
      </c>
      <c r="K465" s="1" t="s">
        <v>34</v>
      </c>
      <c r="L465" s="1" t="s">
        <v>47</v>
      </c>
      <c r="M465" s="1">
        <v>155.25</v>
      </c>
      <c r="N465" s="1">
        <v>1160.58</v>
      </c>
      <c r="O465" s="1" t="s">
        <v>70</v>
      </c>
      <c r="P465" s="1">
        <v>24.34</v>
      </c>
    </row>
    <row r="466" spans="1:16" ht="13" x14ac:dyDescent="0.3">
      <c r="A466" s="1" t="s">
        <v>531</v>
      </c>
      <c r="B466" s="2">
        <v>44326</v>
      </c>
      <c r="C466" s="1">
        <v>2021</v>
      </c>
      <c r="D466" s="1" t="s">
        <v>17</v>
      </c>
      <c r="E466" s="1" t="s">
        <v>72</v>
      </c>
      <c r="F466" s="1" t="s">
        <v>19</v>
      </c>
      <c r="G466" s="1" t="s">
        <v>20</v>
      </c>
      <c r="H466" s="1">
        <v>7.08</v>
      </c>
      <c r="I466" s="1">
        <v>27.18</v>
      </c>
      <c r="J466" s="1">
        <v>3838.96</v>
      </c>
      <c r="K466" s="1" t="s">
        <v>40</v>
      </c>
      <c r="L466" s="1" t="s">
        <v>22</v>
      </c>
      <c r="M466" s="1">
        <v>193.21</v>
      </c>
      <c r="N466" s="1">
        <v>856.32</v>
      </c>
      <c r="O466" s="1" t="s">
        <v>70</v>
      </c>
      <c r="P466" s="1">
        <v>32.130000000000003</v>
      </c>
    </row>
    <row r="467" spans="1:16" ht="13" x14ac:dyDescent="0.3">
      <c r="A467" s="1" t="s">
        <v>532</v>
      </c>
      <c r="B467" s="2">
        <v>40723</v>
      </c>
      <c r="C467" s="1">
        <v>2011</v>
      </c>
      <c r="D467" s="1" t="s">
        <v>31</v>
      </c>
      <c r="E467" s="1" t="s">
        <v>32</v>
      </c>
      <c r="F467" s="1" t="s">
        <v>33</v>
      </c>
      <c r="G467" s="1" t="s">
        <v>27</v>
      </c>
      <c r="H467" s="1">
        <v>8.61</v>
      </c>
      <c r="I467" s="1">
        <v>49.1</v>
      </c>
      <c r="J467" s="1">
        <v>5702.58</v>
      </c>
      <c r="K467" s="1" t="s">
        <v>34</v>
      </c>
      <c r="L467" s="1" t="s">
        <v>47</v>
      </c>
      <c r="M467" s="1">
        <v>83.13</v>
      </c>
      <c r="N467" s="1">
        <v>480.97</v>
      </c>
      <c r="O467" s="1" t="s">
        <v>70</v>
      </c>
      <c r="P467" s="1">
        <v>20.21</v>
      </c>
    </row>
    <row r="468" spans="1:16" ht="13" x14ac:dyDescent="0.3">
      <c r="A468" s="1" t="s">
        <v>533</v>
      </c>
      <c r="B468" s="2">
        <v>44356</v>
      </c>
      <c r="C468" s="1">
        <v>2021</v>
      </c>
      <c r="D468" s="1" t="s">
        <v>103</v>
      </c>
      <c r="E468" s="1" t="s">
        <v>228</v>
      </c>
      <c r="F468" s="1" t="s">
        <v>33</v>
      </c>
      <c r="G468" s="1" t="s">
        <v>39</v>
      </c>
      <c r="H468" s="1">
        <v>45.22</v>
      </c>
      <c r="I468" s="1">
        <v>264.39999999999998</v>
      </c>
      <c r="J468" s="1">
        <v>5847.04</v>
      </c>
      <c r="K468" s="1" t="s">
        <v>34</v>
      </c>
      <c r="L468" s="1" t="s">
        <v>49</v>
      </c>
      <c r="M468" s="1">
        <v>245.63</v>
      </c>
      <c r="N468" s="1">
        <v>436.2</v>
      </c>
      <c r="O468" s="1" t="s">
        <v>42</v>
      </c>
      <c r="P468" s="1">
        <v>31.99</v>
      </c>
    </row>
    <row r="469" spans="1:16" ht="13" x14ac:dyDescent="0.3">
      <c r="A469" s="1" t="s">
        <v>534</v>
      </c>
      <c r="B469" s="2">
        <v>43705</v>
      </c>
      <c r="C469" s="1">
        <v>2019</v>
      </c>
      <c r="D469" s="1" t="s">
        <v>25</v>
      </c>
      <c r="E469" s="1" t="s">
        <v>26</v>
      </c>
      <c r="F469" s="1" t="s">
        <v>33</v>
      </c>
      <c r="G469" s="1" t="s">
        <v>46</v>
      </c>
      <c r="H469" s="1">
        <v>75.52</v>
      </c>
      <c r="I469" s="1">
        <v>262.64</v>
      </c>
      <c r="J469" s="1">
        <v>3477.69</v>
      </c>
      <c r="K469" s="1" t="s">
        <v>28</v>
      </c>
      <c r="L469" s="1" t="s">
        <v>22</v>
      </c>
      <c r="M469" s="1">
        <v>109.49</v>
      </c>
      <c r="N469" s="1">
        <v>640.19000000000005</v>
      </c>
      <c r="O469" s="1" t="s">
        <v>42</v>
      </c>
      <c r="P469" s="1">
        <v>23.16</v>
      </c>
    </row>
    <row r="470" spans="1:16" ht="13" x14ac:dyDescent="0.3">
      <c r="A470" s="1" t="s">
        <v>535</v>
      </c>
      <c r="B470" s="2">
        <v>44812</v>
      </c>
      <c r="C470" s="1">
        <v>2022</v>
      </c>
      <c r="D470" s="1" t="s">
        <v>17</v>
      </c>
      <c r="E470" s="1" t="s">
        <v>72</v>
      </c>
      <c r="F470" s="1" t="s">
        <v>33</v>
      </c>
      <c r="G470" s="1" t="s">
        <v>64</v>
      </c>
      <c r="H470" s="1">
        <v>17.59</v>
      </c>
      <c r="I470" s="1">
        <v>59.67</v>
      </c>
      <c r="J470" s="1">
        <v>3392.47</v>
      </c>
      <c r="K470" s="1" t="s">
        <v>34</v>
      </c>
      <c r="L470" s="1" t="s">
        <v>29</v>
      </c>
      <c r="M470" s="1">
        <v>169.07</v>
      </c>
      <c r="N470" s="1">
        <v>1148.25</v>
      </c>
      <c r="O470" s="1" t="s">
        <v>61</v>
      </c>
      <c r="P470" s="1">
        <v>23.5</v>
      </c>
    </row>
    <row r="471" spans="1:16" ht="13" x14ac:dyDescent="0.3">
      <c r="A471" s="1" t="s">
        <v>536</v>
      </c>
      <c r="B471" s="2">
        <v>43541</v>
      </c>
      <c r="C471" s="1">
        <v>2018</v>
      </c>
      <c r="D471" s="1" t="s">
        <v>31</v>
      </c>
      <c r="E471" s="1" t="s">
        <v>82</v>
      </c>
      <c r="F471" s="1" t="s">
        <v>38</v>
      </c>
      <c r="G471" s="1" t="s">
        <v>64</v>
      </c>
      <c r="H471" s="1">
        <v>29.59</v>
      </c>
      <c r="I471" s="1">
        <v>171.14</v>
      </c>
      <c r="J471" s="1">
        <v>5783.85</v>
      </c>
      <c r="K471" s="1" t="s">
        <v>28</v>
      </c>
      <c r="L471" s="1" t="s">
        <v>49</v>
      </c>
      <c r="M471" s="1">
        <v>219.62</v>
      </c>
      <c r="N471" s="1">
        <v>1161.76</v>
      </c>
      <c r="O471" s="1" t="s">
        <v>23</v>
      </c>
      <c r="P471" s="1">
        <v>21.46</v>
      </c>
    </row>
    <row r="472" spans="1:16" ht="13" x14ac:dyDescent="0.3">
      <c r="A472" s="1" t="s">
        <v>537</v>
      </c>
      <c r="B472" s="2">
        <v>43603</v>
      </c>
      <c r="C472" s="1">
        <v>2019</v>
      </c>
      <c r="D472" s="1" t="s">
        <v>44</v>
      </c>
      <c r="E472" s="1" t="s">
        <v>99</v>
      </c>
      <c r="F472" s="1" t="s">
        <v>19</v>
      </c>
      <c r="G472" s="1" t="s">
        <v>20</v>
      </c>
      <c r="H472" s="1">
        <v>34.159999999999997</v>
      </c>
      <c r="I472" s="1">
        <v>88.9</v>
      </c>
      <c r="J472" s="1">
        <v>2602.5300000000002</v>
      </c>
      <c r="K472" s="1" t="s">
        <v>21</v>
      </c>
      <c r="L472" s="1" t="s">
        <v>41</v>
      </c>
      <c r="M472" s="1">
        <v>113.84</v>
      </c>
      <c r="N472" s="1">
        <v>784.18</v>
      </c>
      <c r="O472" s="1" t="s">
        <v>52</v>
      </c>
      <c r="P472" s="1">
        <v>31.6</v>
      </c>
    </row>
    <row r="473" spans="1:16" ht="13" x14ac:dyDescent="0.3">
      <c r="A473" s="1" t="s">
        <v>538</v>
      </c>
      <c r="B473" s="2">
        <v>43620</v>
      </c>
      <c r="C473" s="1">
        <v>2019</v>
      </c>
      <c r="D473" s="1" t="s">
        <v>17</v>
      </c>
      <c r="E473" s="1" t="s">
        <v>54</v>
      </c>
      <c r="F473" s="1" t="s">
        <v>33</v>
      </c>
      <c r="G473" s="1" t="s">
        <v>27</v>
      </c>
      <c r="H473" s="1">
        <v>34.4</v>
      </c>
      <c r="I473" s="1">
        <v>176.87</v>
      </c>
      <c r="J473" s="1">
        <v>5141.67</v>
      </c>
      <c r="K473" s="1" t="s">
        <v>40</v>
      </c>
      <c r="L473" s="1" t="s">
        <v>29</v>
      </c>
      <c r="M473" s="1">
        <v>128.32</v>
      </c>
      <c r="N473" s="1">
        <v>210.58</v>
      </c>
      <c r="O473" s="1" t="s">
        <v>23</v>
      </c>
      <c r="P473" s="1">
        <v>32.479999999999997</v>
      </c>
    </row>
    <row r="474" spans="1:16" ht="13" x14ac:dyDescent="0.3">
      <c r="A474" s="1" t="s">
        <v>539</v>
      </c>
      <c r="B474" s="2">
        <v>40672</v>
      </c>
      <c r="C474" s="1">
        <v>2011</v>
      </c>
      <c r="D474" s="1" t="s">
        <v>25</v>
      </c>
      <c r="E474" s="1" t="s">
        <v>69</v>
      </c>
      <c r="F474" s="1" t="s">
        <v>19</v>
      </c>
      <c r="G474" s="1" t="s">
        <v>46</v>
      </c>
      <c r="H474" s="1">
        <v>35.799999999999997</v>
      </c>
      <c r="I474" s="1">
        <v>191.58</v>
      </c>
      <c r="J474" s="1">
        <v>5351.5</v>
      </c>
      <c r="K474" s="1" t="s">
        <v>34</v>
      </c>
      <c r="L474" s="1" t="s">
        <v>41</v>
      </c>
      <c r="M474" s="1">
        <v>98.27</v>
      </c>
      <c r="N474" s="1">
        <v>223.7</v>
      </c>
      <c r="O474" s="1" t="s">
        <v>23</v>
      </c>
      <c r="P474" s="1">
        <v>20.85</v>
      </c>
    </row>
    <row r="475" spans="1:16" ht="13" x14ac:dyDescent="0.3">
      <c r="A475" s="1" t="s">
        <v>540</v>
      </c>
      <c r="B475" s="2">
        <v>40645</v>
      </c>
      <c r="C475" s="1">
        <v>2011</v>
      </c>
      <c r="D475" s="1" t="s">
        <v>59</v>
      </c>
      <c r="E475" s="1" t="s">
        <v>93</v>
      </c>
      <c r="F475" s="1" t="s">
        <v>19</v>
      </c>
      <c r="G475" s="1" t="s">
        <v>64</v>
      </c>
      <c r="H475" s="1">
        <v>9.5500000000000007</v>
      </c>
      <c r="I475" s="1">
        <v>44.2</v>
      </c>
      <c r="J475" s="1">
        <v>4628.1099999999997</v>
      </c>
      <c r="K475" s="1" t="s">
        <v>28</v>
      </c>
      <c r="L475" s="1" t="s">
        <v>22</v>
      </c>
      <c r="M475" s="1">
        <v>214.1</v>
      </c>
      <c r="N475" s="1">
        <v>1099.9000000000001</v>
      </c>
      <c r="O475" s="1" t="s">
        <v>61</v>
      </c>
      <c r="P475" s="1">
        <v>32.049999999999997</v>
      </c>
    </row>
    <row r="476" spans="1:16" ht="13" x14ac:dyDescent="0.3">
      <c r="A476" s="1" t="s">
        <v>541</v>
      </c>
      <c r="B476" s="2">
        <v>42026</v>
      </c>
      <c r="C476" s="1">
        <v>2014</v>
      </c>
      <c r="D476" s="1" t="s">
        <v>17</v>
      </c>
      <c r="E476" s="1" t="s">
        <v>18</v>
      </c>
      <c r="F476" s="1" t="s">
        <v>38</v>
      </c>
      <c r="G476" s="1" t="s">
        <v>46</v>
      </c>
      <c r="H476" s="1">
        <v>66.39</v>
      </c>
      <c r="I476" s="1">
        <v>96.55</v>
      </c>
      <c r="J476" s="1">
        <v>1454.29</v>
      </c>
      <c r="K476" s="1" t="s">
        <v>28</v>
      </c>
      <c r="L476" s="1" t="s">
        <v>49</v>
      </c>
      <c r="M476" s="1">
        <v>280.67</v>
      </c>
      <c r="N476" s="1">
        <v>476.38</v>
      </c>
      <c r="O476" s="1" t="s">
        <v>52</v>
      </c>
      <c r="P476" s="1">
        <v>30.38</v>
      </c>
    </row>
    <row r="477" spans="1:16" ht="13" x14ac:dyDescent="0.3">
      <c r="A477" s="1" t="s">
        <v>542</v>
      </c>
      <c r="B477" s="2">
        <v>41842</v>
      </c>
      <c r="C477" s="1">
        <v>2014</v>
      </c>
      <c r="D477" s="1" t="s">
        <v>103</v>
      </c>
      <c r="E477" s="1" t="s">
        <v>104</v>
      </c>
      <c r="F477" s="1" t="s">
        <v>33</v>
      </c>
      <c r="G477" s="1" t="s">
        <v>46</v>
      </c>
      <c r="H477" s="1">
        <v>39.47</v>
      </c>
      <c r="I477" s="1">
        <v>275.33</v>
      </c>
      <c r="J477" s="1">
        <v>6975.75</v>
      </c>
      <c r="K477" s="1" t="s">
        <v>34</v>
      </c>
      <c r="L477" s="1" t="s">
        <v>47</v>
      </c>
      <c r="M477" s="1">
        <v>288.89999999999998</v>
      </c>
      <c r="N477" s="1">
        <v>464.66</v>
      </c>
      <c r="O477" s="1" t="s">
        <v>52</v>
      </c>
      <c r="P477" s="1">
        <v>21.04</v>
      </c>
    </row>
    <row r="478" spans="1:16" ht="13" x14ac:dyDescent="0.3">
      <c r="A478" s="1" t="s">
        <v>543</v>
      </c>
      <c r="B478" s="2">
        <v>44162</v>
      </c>
      <c r="C478" s="1">
        <v>2020</v>
      </c>
      <c r="D478" s="1" t="s">
        <v>36</v>
      </c>
      <c r="E478" s="1" t="s">
        <v>37</v>
      </c>
      <c r="F478" s="1" t="s">
        <v>38</v>
      </c>
      <c r="G478" s="1" t="s">
        <v>64</v>
      </c>
      <c r="H478" s="1">
        <v>15.24</v>
      </c>
      <c r="I478" s="1">
        <v>85.53</v>
      </c>
      <c r="J478" s="1">
        <v>5612.24</v>
      </c>
      <c r="K478" s="1" t="s">
        <v>40</v>
      </c>
      <c r="L478" s="1" t="s">
        <v>22</v>
      </c>
      <c r="M478" s="1">
        <v>203.49</v>
      </c>
      <c r="N478" s="1">
        <v>306.25</v>
      </c>
      <c r="O478" s="1" t="s">
        <v>52</v>
      </c>
      <c r="P478" s="1">
        <v>30.73</v>
      </c>
    </row>
    <row r="479" spans="1:16" ht="13" x14ac:dyDescent="0.3">
      <c r="A479" s="1" t="s">
        <v>544</v>
      </c>
      <c r="B479" s="2">
        <v>43573</v>
      </c>
      <c r="C479" s="1">
        <v>2019</v>
      </c>
      <c r="D479" s="1" t="s">
        <v>25</v>
      </c>
      <c r="E479" s="1" t="s">
        <v>26</v>
      </c>
      <c r="F479" s="1" t="s">
        <v>19</v>
      </c>
      <c r="G479" s="1" t="s">
        <v>20</v>
      </c>
      <c r="H479" s="1">
        <v>77.95</v>
      </c>
      <c r="I479" s="1">
        <v>86.73</v>
      </c>
      <c r="J479" s="1">
        <v>1112.5899999999999</v>
      </c>
      <c r="K479" s="1" t="s">
        <v>28</v>
      </c>
      <c r="L479" s="1" t="s">
        <v>41</v>
      </c>
      <c r="M479" s="1">
        <v>87.21</v>
      </c>
      <c r="N479" s="1">
        <v>840.34</v>
      </c>
      <c r="O479" s="1" t="s">
        <v>23</v>
      </c>
      <c r="P479" s="1">
        <v>29.97</v>
      </c>
    </row>
    <row r="480" spans="1:16" ht="13" x14ac:dyDescent="0.3">
      <c r="A480" s="1" t="s">
        <v>545</v>
      </c>
      <c r="B480" s="2">
        <v>42461</v>
      </c>
      <c r="C480" s="1">
        <v>2016</v>
      </c>
      <c r="D480" s="1" t="s">
        <v>17</v>
      </c>
      <c r="E480" s="1" t="s">
        <v>72</v>
      </c>
      <c r="F480" s="1" t="s">
        <v>19</v>
      </c>
      <c r="G480" s="1" t="s">
        <v>64</v>
      </c>
      <c r="H480" s="1">
        <v>52.02</v>
      </c>
      <c r="I480" s="1">
        <v>345.39</v>
      </c>
      <c r="J480" s="1">
        <v>6639.47</v>
      </c>
      <c r="K480" s="1" t="s">
        <v>28</v>
      </c>
      <c r="L480" s="1" t="s">
        <v>29</v>
      </c>
      <c r="M480" s="1">
        <v>169.53</v>
      </c>
      <c r="N480" s="1">
        <v>603.91</v>
      </c>
      <c r="O480" s="1" t="s">
        <v>23</v>
      </c>
      <c r="P480" s="1">
        <v>28.1</v>
      </c>
    </row>
    <row r="481" spans="1:16" ht="13" x14ac:dyDescent="0.3">
      <c r="A481" s="1" t="s">
        <v>546</v>
      </c>
      <c r="B481" s="2">
        <v>40688</v>
      </c>
      <c r="C481" s="1">
        <v>2011</v>
      </c>
      <c r="D481" s="1" t="s">
        <v>17</v>
      </c>
      <c r="E481" s="1" t="s">
        <v>72</v>
      </c>
      <c r="F481" s="1" t="s">
        <v>19</v>
      </c>
      <c r="G481" s="1" t="s">
        <v>27</v>
      </c>
      <c r="H481" s="1">
        <v>93.57</v>
      </c>
      <c r="I481" s="1">
        <v>295.07</v>
      </c>
      <c r="J481" s="1">
        <v>3153.51</v>
      </c>
      <c r="K481" s="1" t="s">
        <v>34</v>
      </c>
      <c r="L481" s="1" t="s">
        <v>49</v>
      </c>
      <c r="M481" s="1">
        <v>150.15</v>
      </c>
      <c r="N481" s="1">
        <v>832.27</v>
      </c>
      <c r="O481" s="1" t="s">
        <v>23</v>
      </c>
      <c r="P481" s="1">
        <v>25.48</v>
      </c>
    </row>
    <row r="482" spans="1:16" ht="13" x14ac:dyDescent="0.3">
      <c r="A482" s="1" t="s">
        <v>547</v>
      </c>
      <c r="B482" s="2">
        <v>44957</v>
      </c>
      <c r="C482" s="1">
        <v>2022</v>
      </c>
      <c r="D482" s="1" t="s">
        <v>25</v>
      </c>
      <c r="E482" s="1" t="s">
        <v>87</v>
      </c>
      <c r="F482" s="1" t="s">
        <v>38</v>
      </c>
      <c r="G482" s="1" t="s">
        <v>39</v>
      </c>
      <c r="H482" s="1">
        <v>21.11</v>
      </c>
      <c r="I482" s="1">
        <v>91.34</v>
      </c>
      <c r="J482" s="1">
        <v>4326.8500000000004</v>
      </c>
      <c r="K482" s="1" t="s">
        <v>28</v>
      </c>
      <c r="L482" s="1" t="s">
        <v>29</v>
      </c>
      <c r="M482" s="1">
        <v>215.18</v>
      </c>
      <c r="N482" s="1">
        <v>498.87</v>
      </c>
      <c r="O482" s="1" t="s">
        <v>52</v>
      </c>
      <c r="P482" s="1">
        <v>33.450000000000003</v>
      </c>
    </row>
    <row r="483" spans="1:16" ht="13" x14ac:dyDescent="0.3">
      <c r="A483" s="1" t="s">
        <v>548</v>
      </c>
      <c r="B483" s="2">
        <v>42857</v>
      </c>
      <c r="C483" s="1">
        <v>2017</v>
      </c>
      <c r="D483" s="1" t="s">
        <v>25</v>
      </c>
      <c r="E483" s="1" t="s">
        <v>69</v>
      </c>
      <c r="F483" s="1" t="s">
        <v>19</v>
      </c>
      <c r="G483" s="1" t="s">
        <v>56</v>
      </c>
      <c r="H483" s="1">
        <v>14.85</v>
      </c>
      <c r="I483" s="1">
        <v>32.049999999999997</v>
      </c>
      <c r="J483" s="1">
        <v>2158.56</v>
      </c>
      <c r="K483" s="1" t="s">
        <v>40</v>
      </c>
      <c r="L483" s="1" t="s">
        <v>47</v>
      </c>
      <c r="M483" s="1">
        <v>172.31</v>
      </c>
      <c r="N483" s="1">
        <v>262.99</v>
      </c>
      <c r="O483" s="1" t="s">
        <v>61</v>
      </c>
      <c r="P483" s="1">
        <v>29.65</v>
      </c>
    </row>
    <row r="484" spans="1:16" ht="13" x14ac:dyDescent="0.3">
      <c r="A484" s="1" t="s">
        <v>549</v>
      </c>
      <c r="B484" s="2">
        <v>40467</v>
      </c>
      <c r="C484" s="1">
        <v>2010</v>
      </c>
      <c r="D484" s="1" t="s">
        <v>44</v>
      </c>
      <c r="E484" s="1" t="s">
        <v>99</v>
      </c>
      <c r="F484" s="1" t="s">
        <v>33</v>
      </c>
      <c r="G484" s="1" t="s">
        <v>20</v>
      </c>
      <c r="H484" s="1">
        <v>6.55</v>
      </c>
      <c r="I484" s="1">
        <v>37.51</v>
      </c>
      <c r="J484" s="1">
        <v>5726.67</v>
      </c>
      <c r="K484" s="1" t="s">
        <v>21</v>
      </c>
      <c r="L484" s="1" t="s">
        <v>41</v>
      </c>
      <c r="M484" s="1">
        <v>151.38</v>
      </c>
      <c r="N484" s="1">
        <v>411.68</v>
      </c>
      <c r="O484" s="1" t="s">
        <v>61</v>
      </c>
      <c r="P484" s="1">
        <v>26.88</v>
      </c>
    </row>
    <row r="485" spans="1:16" ht="13" x14ac:dyDescent="0.3">
      <c r="A485" s="1" t="s">
        <v>550</v>
      </c>
      <c r="B485" s="2">
        <v>41459</v>
      </c>
      <c r="C485" s="1">
        <v>2013</v>
      </c>
      <c r="D485" s="1" t="s">
        <v>17</v>
      </c>
      <c r="E485" s="1" t="s">
        <v>54</v>
      </c>
      <c r="F485" s="1" t="s">
        <v>33</v>
      </c>
      <c r="G485" s="1" t="s">
        <v>64</v>
      </c>
      <c r="H485" s="1">
        <v>73.81</v>
      </c>
      <c r="I485" s="1">
        <v>290.32</v>
      </c>
      <c r="J485" s="1">
        <v>3933.37</v>
      </c>
      <c r="K485" s="1" t="s">
        <v>21</v>
      </c>
      <c r="L485" s="1" t="s">
        <v>22</v>
      </c>
      <c r="M485" s="1">
        <v>167.8</v>
      </c>
      <c r="N485" s="1">
        <v>1118.02</v>
      </c>
      <c r="O485" s="1" t="s">
        <v>23</v>
      </c>
      <c r="P485" s="1">
        <v>23.64</v>
      </c>
    </row>
    <row r="486" spans="1:16" ht="13" x14ac:dyDescent="0.3">
      <c r="A486" s="1" t="s">
        <v>551</v>
      </c>
      <c r="B486" s="2">
        <v>40539</v>
      </c>
      <c r="C486" s="1">
        <v>2010</v>
      </c>
      <c r="D486" s="1" t="s">
        <v>103</v>
      </c>
      <c r="E486" s="1" t="s">
        <v>228</v>
      </c>
      <c r="F486" s="1" t="s">
        <v>38</v>
      </c>
      <c r="G486" s="1" t="s">
        <v>64</v>
      </c>
      <c r="H486" s="1">
        <v>46.16</v>
      </c>
      <c r="I486" s="1">
        <v>93.43</v>
      </c>
      <c r="J486" s="1">
        <v>2024.14</v>
      </c>
      <c r="K486" s="1" t="s">
        <v>21</v>
      </c>
      <c r="L486" s="1" t="s">
        <v>22</v>
      </c>
      <c r="M486" s="1">
        <v>254.45</v>
      </c>
      <c r="N486" s="1">
        <v>306.33</v>
      </c>
      <c r="O486" s="1" t="s">
        <v>52</v>
      </c>
      <c r="P486" s="1">
        <v>28.92</v>
      </c>
    </row>
    <row r="487" spans="1:16" ht="13" x14ac:dyDescent="0.3">
      <c r="A487" s="1" t="s">
        <v>552</v>
      </c>
      <c r="B487" s="2">
        <v>42719</v>
      </c>
      <c r="C487" s="1">
        <v>2016</v>
      </c>
      <c r="D487" s="1" t="s">
        <v>44</v>
      </c>
      <c r="E487" s="1" t="s">
        <v>45</v>
      </c>
      <c r="F487" s="1" t="s">
        <v>38</v>
      </c>
      <c r="G487" s="1" t="s">
        <v>39</v>
      </c>
      <c r="H487" s="1">
        <v>68.16</v>
      </c>
      <c r="I487" s="1">
        <v>200.76</v>
      </c>
      <c r="J487" s="1">
        <v>2945.41</v>
      </c>
      <c r="K487" s="1" t="s">
        <v>40</v>
      </c>
      <c r="L487" s="1" t="s">
        <v>49</v>
      </c>
      <c r="M487" s="1">
        <v>130.4</v>
      </c>
      <c r="N487" s="1">
        <v>1164.69</v>
      </c>
      <c r="O487" s="1" t="s">
        <v>42</v>
      </c>
      <c r="P487" s="1">
        <v>31.46</v>
      </c>
    </row>
    <row r="488" spans="1:16" ht="13" x14ac:dyDescent="0.3">
      <c r="A488" s="1" t="s">
        <v>553</v>
      </c>
      <c r="B488" s="2">
        <v>41887</v>
      </c>
      <c r="C488" s="1">
        <v>2014</v>
      </c>
      <c r="D488" s="1" t="s">
        <v>25</v>
      </c>
      <c r="E488" s="1" t="s">
        <v>26</v>
      </c>
      <c r="F488" s="1" t="s">
        <v>33</v>
      </c>
      <c r="G488" s="1" t="s">
        <v>46</v>
      </c>
      <c r="H488" s="1">
        <v>17.64</v>
      </c>
      <c r="I488" s="1">
        <v>56.79</v>
      </c>
      <c r="J488" s="1">
        <v>3219.56</v>
      </c>
      <c r="K488" s="1" t="s">
        <v>40</v>
      </c>
      <c r="L488" s="1" t="s">
        <v>41</v>
      </c>
      <c r="M488" s="1">
        <v>159.66999999999999</v>
      </c>
      <c r="N488" s="1">
        <v>1125.68</v>
      </c>
      <c r="O488" s="1" t="s">
        <v>23</v>
      </c>
      <c r="P488" s="1">
        <v>22</v>
      </c>
    </row>
    <row r="489" spans="1:16" ht="13" x14ac:dyDescent="0.3">
      <c r="A489" s="1" t="s">
        <v>554</v>
      </c>
      <c r="B489" s="2">
        <v>40747</v>
      </c>
      <c r="C489" s="1">
        <v>2011</v>
      </c>
      <c r="D489" s="1" t="s">
        <v>25</v>
      </c>
      <c r="E489" s="1" t="s">
        <v>87</v>
      </c>
      <c r="F489" s="1" t="s">
        <v>33</v>
      </c>
      <c r="G489" s="1" t="s">
        <v>64</v>
      </c>
      <c r="H489" s="1">
        <v>18.760000000000002</v>
      </c>
      <c r="I489" s="1">
        <v>28.79</v>
      </c>
      <c r="J489" s="1">
        <v>1534.85</v>
      </c>
      <c r="K489" s="1" t="s">
        <v>34</v>
      </c>
      <c r="L489" s="1" t="s">
        <v>41</v>
      </c>
      <c r="M489" s="1">
        <v>154.06</v>
      </c>
      <c r="N489" s="1">
        <v>1007.41</v>
      </c>
      <c r="O489" s="1" t="s">
        <v>52</v>
      </c>
      <c r="P489" s="1">
        <v>30.39</v>
      </c>
    </row>
    <row r="490" spans="1:16" ht="13" x14ac:dyDescent="0.3">
      <c r="A490" s="1" t="s">
        <v>555</v>
      </c>
      <c r="B490" s="2">
        <v>43482</v>
      </c>
      <c r="C490" s="1">
        <v>2018</v>
      </c>
      <c r="D490" s="1" t="s">
        <v>17</v>
      </c>
      <c r="E490" s="1" t="s">
        <v>72</v>
      </c>
      <c r="F490" s="1" t="s">
        <v>38</v>
      </c>
      <c r="G490" s="1" t="s">
        <v>46</v>
      </c>
      <c r="H490" s="1">
        <v>24.69</v>
      </c>
      <c r="I490" s="1">
        <v>50.55</v>
      </c>
      <c r="J490" s="1">
        <v>2047.29</v>
      </c>
      <c r="K490" s="1" t="s">
        <v>21</v>
      </c>
      <c r="L490" s="1" t="s">
        <v>49</v>
      </c>
      <c r="M490" s="1">
        <v>199.07</v>
      </c>
      <c r="N490" s="1">
        <v>917.2</v>
      </c>
      <c r="O490" s="1" t="s">
        <v>61</v>
      </c>
      <c r="P490" s="1">
        <v>34.25</v>
      </c>
    </row>
    <row r="491" spans="1:16" ht="13" x14ac:dyDescent="0.3">
      <c r="A491" s="1" t="s">
        <v>556</v>
      </c>
      <c r="B491" s="2">
        <v>43370</v>
      </c>
      <c r="C491" s="1">
        <v>2018</v>
      </c>
      <c r="D491" s="1" t="s">
        <v>36</v>
      </c>
      <c r="E491" s="1" t="s">
        <v>37</v>
      </c>
      <c r="F491" s="1" t="s">
        <v>33</v>
      </c>
      <c r="G491" s="1" t="s">
        <v>56</v>
      </c>
      <c r="H491" s="1">
        <v>12.63</v>
      </c>
      <c r="I491" s="1">
        <v>52.81</v>
      </c>
      <c r="J491" s="1">
        <v>4181.1899999999996</v>
      </c>
      <c r="K491" s="1" t="s">
        <v>21</v>
      </c>
      <c r="L491" s="1" t="s">
        <v>41</v>
      </c>
      <c r="M491" s="1">
        <v>204.73</v>
      </c>
      <c r="N491" s="1">
        <v>1062.73</v>
      </c>
      <c r="O491" s="1" t="s">
        <v>61</v>
      </c>
      <c r="P491" s="1">
        <v>27.61</v>
      </c>
    </row>
    <row r="492" spans="1:16" ht="13" x14ac:dyDescent="0.3">
      <c r="A492" s="1" t="s">
        <v>557</v>
      </c>
      <c r="B492" s="2">
        <v>41519</v>
      </c>
      <c r="C492" s="1">
        <v>2013</v>
      </c>
      <c r="D492" s="1" t="s">
        <v>31</v>
      </c>
      <c r="E492" s="1" t="s">
        <v>82</v>
      </c>
      <c r="F492" s="1" t="s">
        <v>33</v>
      </c>
      <c r="G492" s="1" t="s">
        <v>56</v>
      </c>
      <c r="H492" s="1">
        <v>68.84</v>
      </c>
      <c r="I492" s="1">
        <v>468.9</v>
      </c>
      <c r="J492" s="1">
        <v>6811.44</v>
      </c>
      <c r="K492" s="1" t="s">
        <v>28</v>
      </c>
      <c r="L492" s="1" t="s">
        <v>49</v>
      </c>
      <c r="M492" s="1">
        <v>174.38</v>
      </c>
      <c r="N492" s="1">
        <v>359.76</v>
      </c>
      <c r="O492" s="1" t="s">
        <v>23</v>
      </c>
      <c r="P492" s="1">
        <v>20.81</v>
      </c>
    </row>
    <row r="493" spans="1:16" ht="13" x14ac:dyDescent="0.3">
      <c r="A493" s="1" t="s">
        <v>558</v>
      </c>
      <c r="B493" s="2">
        <v>41951</v>
      </c>
      <c r="C493" s="1">
        <v>2014</v>
      </c>
      <c r="D493" s="1" t="s">
        <v>103</v>
      </c>
      <c r="E493" s="1" t="s">
        <v>107</v>
      </c>
      <c r="F493" s="1" t="s">
        <v>38</v>
      </c>
      <c r="G493" s="1" t="s">
        <v>27</v>
      </c>
      <c r="H493" s="1">
        <v>80.709999999999994</v>
      </c>
      <c r="I493" s="1">
        <v>447.98</v>
      </c>
      <c r="J493" s="1">
        <v>5550.45</v>
      </c>
      <c r="K493" s="1" t="s">
        <v>21</v>
      </c>
      <c r="L493" s="1" t="s">
        <v>29</v>
      </c>
      <c r="M493" s="1">
        <v>76.11</v>
      </c>
      <c r="N493" s="1">
        <v>252.46</v>
      </c>
      <c r="O493" s="1" t="s">
        <v>61</v>
      </c>
      <c r="P493" s="1">
        <v>22.64</v>
      </c>
    </row>
    <row r="494" spans="1:16" ht="13" x14ac:dyDescent="0.3">
      <c r="A494" s="1" t="s">
        <v>559</v>
      </c>
      <c r="B494" s="2">
        <v>40723</v>
      </c>
      <c r="C494" s="1">
        <v>2011</v>
      </c>
      <c r="D494" s="1" t="s">
        <v>59</v>
      </c>
      <c r="E494" s="1" t="s">
        <v>60</v>
      </c>
      <c r="F494" s="1" t="s">
        <v>33</v>
      </c>
      <c r="G494" s="1" t="s">
        <v>39</v>
      </c>
      <c r="H494" s="1">
        <v>45.04</v>
      </c>
      <c r="I494" s="1">
        <v>201.71</v>
      </c>
      <c r="J494" s="1">
        <v>4478.57</v>
      </c>
      <c r="K494" s="1" t="s">
        <v>28</v>
      </c>
      <c r="L494" s="1" t="s">
        <v>49</v>
      </c>
      <c r="M494" s="1">
        <v>99.69</v>
      </c>
      <c r="N494" s="1">
        <v>876.85</v>
      </c>
      <c r="O494" s="1" t="s">
        <v>70</v>
      </c>
      <c r="P494" s="1">
        <v>23.45</v>
      </c>
    </row>
    <row r="495" spans="1:16" ht="13" x14ac:dyDescent="0.3">
      <c r="A495" s="1" t="s">
        <v>560</v>
      </c>
      <c r="B495" s="2">
        <v>41374</v>
      </c>
      <c r="C495" s="1">
        <v>2013</v>
      </c>
      <c r="D495" s="1" t="s">
        <v>103</v>
      </c>
      <c r="E495" s="1" t="s">
        <v>104</v>
      </c>
      <c r="F495" s="1" t="s">
        <v>19</v>
      </c>
      <c r="G495" s="1" t="s">
        <v>46</v>
      </c>
      <c r="H495" s="1">
        <v>87.12</v>
      </c>
      <c r="I495" s="1">
        <v>283.42</v>
      </c>
      <c r="J495" s="1">
        <v>3253.19</v>
      </c>
      <c r="K495" s="1" t="s">
        <v>40</v>
      </c>
      <c r="L495" s="1" t="s">
        <v>41</v>
      </c>
      <c r="M495" s="1">
        <v>68.38</v>
      </c>
      <c r="N495" s="1">
        <v>785.09</v>
      </c>
      <c r="O495" s="1" t="s">
        <v>23</v>
      </c>
      <c r="P495" s="1">
        <v>33.36</v>
      </c>
    </row>
    <row r="496" spans="1:16" ht="13" x14ac:dyDescent="0.3">
      <c r="A496" s="1" t="s">
        <v>561</v>
      </c>
      <c r="B496" s="2">
        <v>41359</v>
      </c>
      <c r="C496" s="1">
        <v>2012</v>
      </c>
      <c r="D496" s="1" t="s">
        <v>59</v>
      </c>
      <c r="E496" s="1" t="s">
        <v>63</v>
      </c>
      <c r="F496" s="1" t="s">
        <v>38</v>
      </c>
      <c r="G496" s="1" t="s">
        <v>20</v>
      </c>
      <c r="H496" s="1">
        <v>14.5</v>
      </c>
      <c r="I496" s="1">
        <v>77.12</v>
      </c>
      <c r="J496" s="1">
        <v>5318.93</v>
      </c>
      <c r="K496" s="1" t="s">
        <v>34</v>
      </c>
      <c r="L496" s="1" t="s">
        <v>22</v>
      </c>
      <c r="M496" s="1">
        <v>293.89</v>
      </c>
      <c r="N496" s="1">
        <v>402.21</v>
      </c>
      <c r="O496" s="1" t="s">
        <v>42</v>
      </c>
      <c r="P496" s="1">
        <v>20.48</v>
      </c>
    </row>
    <row r="497" spans="1:16" ht="13" x14ac:dyDescent="0.3">
      <c r="A497" s="1" t="s">
        <v>562</v>
      </c>
      <c r="B497" s="2">
        <v>40995</v>
      </c>
      <c r="C497" s="1">
        <v>2011</v>
      </c>
      <c r="D497" s="1" t="s">
        <v>31</v>
      </c>
      <c r="E497" s="1" t="s">
        <v>82</v>
      </c>
      <c r="F497" s="1" t="s">
        <v>38</v>
      </c>
      <c r="G497" s="1" t="s">
        <v>46</v>
      </c>
      <c r="H497" s="1">
        <v>42.4</v>
      </c>
      <c r="I497" s="1">
        <v>235.83</v>
      </c>
      <c r="J497" s="1">
        <v>5562.04</v>
      </c>
      <c r="K497" s="1" t="s">
        <v>40</v>
      </c>
      <c r="L497" s="1" t="s">
        <v>47</v>
      </c>
      <c r="M497" s="1">
        <v>271.60000000000002</v>
      </c>
      <c r="N497" s="1">
        <v>803.64</v>
      </c>
      <c r="O497" s="1" t="s">
        <v>61</v>
      </c>
      <c r="P497" s="1">
        <v>33.58</v>
      </c>
    </row>
    <row r="498" spans="1:16" ht="13" x14ac:dyDescent="0.3">
      <c r="A498" s="1" t="s">
        <v>563</v>
      </c>
      <c r="B498" s="2">
        <v>40911</v>
      </c>
      <c r="C498" s="1">
        <v>2011</v>
      </c>
      <c r="D498" s="1" t="s">
        <v>44</v>
      </c>
      <c r="E498" s="1" t="s">
        <v>45</v>
      </c>
      <c r="F498" s="1" t="s">
        <v>38</v>
      </c>
      <c r="G498" s="1" t="s">
        <v>27</v>
      </c>
      <c r="H498" s="1">
        <v>49.43</v>
      </c>
      <c r="I498" s="1">
        <v>344.72</v>
      </c>
      <c r="J498" s="1">
        <v>6973.99</v>
      </c>
      <c r="K498" s="1" t="s">
        <v>28</v>
      </c>
      <c r="L498" s="1" t="s">
        <v>41</v>
      </c>
      <c r="M498" s="1">
        <v>259.25</v>
      </c>
      <c r="N498" s="1">
        <v>479.17</v>
      </c>
      <c r="O498" s="1" t="s">
        <v>52</v>
      </c>
      <c r="P498" s="1">
        <v>31.04</v>
      </c>
    </row>
    <row r="499" spans="1:16" ht="13" x14ac:dyDescent="0.3">
      <c r="A499" s="1" t="s">
        <v>564</v>
      </c>
      <c r="B499" s="2">
        <v>43746</v>
      </c>
      <c r="C499" s="1">
        <v>2019</v>
      </c>
      <c r="D499" s="1" t="s">
        <v>31</v>
      </c>
      <c r="E499" s="1" t="s">
        <v>32</v>
      </c>
      <c r="F499" s="1" t="s">
        <v>33</v>
      </c>
      <c r="G499" s="1" t="s">
        <v>27</v>
      </c>
      <c r="H499" s="1">
        <v>94.68</v>
      </c>
      <c r="I499" s="1">
        <v>613.77</v>
      </c>
      <c r="J499" s="1">
        <v>6482.53</v>
      </c>
      <c r="K499" s="1" t="s">
        <v>21</v>
      </c>
      <c r="L499" s="1" t="s">
        <v>22</v>
      </c>
      <c r="M499" s="1">
        <v>154.44</v>
      </c>
      <c r="N499" s="1">
        <v>244.22</v>
      </c>
      <c r="O499" s="1" t="s">
        <v>52</v>
      </c>
      <c r="P499" s="1">
        <v>31</v>
      </c>
    </row>
    <row r="500" spans="1:16" ht="13" x14ac:dyDescent="0.3">
      <c r="A500" s="1" t="s">
        <v>565</v>
      </c>
      <c r="B500" s="2">
        <v>42708</v>
      </c>
      <c r="C500" s="1">
        <v>2016</v>
      </c>
      <c r="D500" s="1" t="s">
        <v>36</v>
      </c>
      <c r="E500" s="1" t="s">
        <v>77</v>
      </c>
      <c r="F500" s="1" t="s">
        <v>38</v>
      </c>
      <c r="G500" s="1" t="s">
        <v>39</v>
      </c>
      <c r="H500" s="1">
        <v>82.31</v>
      </c>
      <c r="I500" s="1">
        <v>305.75</v>
      </c>
      <c r="J500" s="1">
        <v>3714.65</v>
      </c>
      <c r="K500" s="1" t="s">
        <v>40</v>
      </c>
      <c r="L500" s="1" t="s">
        <v>49</v>
      </c>
      <c r="M500" s="1">
        <v>70.77</v>
      </c>
      <c r="N500" s="1">
        <v>953.08</v>
      </c>
      <c r="O500" s="1" t="s">
        <v>52</v>
      </c>
      <c r="P500" s="1">
        <v>34.25</v>
      </c>
    </row>
    <row r="501" spans="1:16" ht="13" x14ac:dyDescent="0.3">
      <c r="A501" s="1" t="s">
        <v>566</v>
      </c>
      <c r="B501" s="2">
        <v>44101</v>
      </c>
      <c r="C501" s="1">
        <v>2020</v>
      </c>
      <c r="D501" s="1" t="s">
        <v>31</v>
      </c>
      <c r="E501" s="1" t="s">
        <v>82</v>
      </c>
      <c r="F501" s="1" t="s">
        <v>33</v>
      </c>
      <c r="G501" s="1" t="s">
        <v>64</v>
      </c>
      <c r="H501" s="1">
        <v>48.5</v>
      </c>
      <c r="I501" s="1">
        <v>137.21</v>
      </c>
      <c r="J501" s="1">
        <v>2829.02</v>
      </c>
      <c r="K501" s="1" t="s">
        <v>28</v>
      </c>
      <c r="L501" s="1" t="s">
        <v>41</v>
      </c>
      <c r="M501" s="1">
        <v>264.48</v>
      </c>
      <c r="N501" s="1">
        <v>947.29</v>
      </c>
      <c r="O501" s="1" t="s">
        <v>23</v>
      </c>
      <c r="P501" s="1">
        <v>34.65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8468-7F12-471F-8830-6D246916B02D}">
  <dimension ref="A1:T46"/>
  <sheetViews>
    <sheetView showGridLines="0" showRowColHeaders="0" tabSelected="1" zoomScale="80" zoomScaleNormal="80" workbookViewId="0">
      <selection activeCell="K40" sqref="K40"/>
    </sheetView>
  </sheetViews>
  <sheetFormatPr defaultRowHeight="12.5" x14ac:dyDescent="0.25"/>
  <sheetData>
    <row r="1" spans="1:1" x14ac:dyDescent="0.25">
      <c r="A1" s="7"/>
    </row>
    <row r="46" spans="20:20" x14ac:dyDescent="0.25">
      <c r="T46">
        <f>GETPIVOTDATA("Production (Tonnes)",Pivot_Table!$O$28)</f>
        <v>98359.429999999891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8500-8BCD-43D5-AA35-D3981776E4B4}">
  <dimension ref="A3:Q40"/>
  <sheetViews>
    <sheetView topLeftCell="N15" zoomScale="131" workbookViewId="0">
      <selection activeCell="Q39" sqref="Q39"/>
    </sheetView>
  </sheetViews>
  <sheetFormatPr defaultRowHeight="12.5" x14ac:dyDescent="0.25"/>
  <cols>
    <col min="1" max="1" width="13" bestFit="1" customWidth="1"/>
    <col min="2" max="2" width="19" bestFit="1" customWidth="1"/>
    <col min="3" max="3" width="8.81640625" bestFit="1" customWidth="1"/>
    <col min="4" max="4" width="28.7265625" bestFit="1" customWidth="1"/>
    <col min="5" max="5" width="15.90625" bestFit="1" customWidth="1"/>
    <col min="6" max="8" width="11.81640625" bestFit="1" customWidth="1"/>
    <col min="9" max="9" width="15.90625" bestFit="1" customWidth="1"/>
    <col min="10" max="13" width="11.81640625" bestFit="1" customWidth="1"/>
    <col min="14" max="14" width="12.7265625" bestFit="1" customWidth="1"/>
    <col min="15" max="19" width="11.81640625" bestFit="1" customWidth="1"/>
    <col min="20" max="20" width="14.54296875" bestFit="1" customWidth="1"/>
    <col min="21" max="21" width="13.26953125" bestFit="1" customWidth="1"/>
    <col min="22" max="23" width="11.81640625" bestFit="1" customWidth="1"/>
    <col min="24" max="24" width="16.6328125" bestFit="1" customWidth="1"/>
    <col min="25" max="28" width="11.81640625" bestFit="1" customWidth="1"/>
    <col min="29" max="29" width="14.36328125" bestFit="1" customWidth="1"/>
    <col min="30" max="31" width="11.81640625" bestFit="1" customWidth="1"/>
    <col min="32" max="32" width="17.81640625" bestFit="1" customWidth="1"/>
    <col min="33" max="33" width="13.26953125" bestFit="1" customWidth="1"/>
    <col min="34" max="35" width="11.81640625" bestFit="1" customWidth="1"/>
    <col min="36" max="36" width="16.6328125" bestFit="1" customWidth="1"/>
    <col min="37" max="37" width="11.81640625" bestFit="1" customWidth="1"/>
  </cols>
  <sheetData>
    <row r="3" spans="1:16" x14ac:dyDescent="0.25">
      <c r="A3" s="5" t="s">
        <v>567</v>
      </c>
      <c r="B3" t="s">
        <v>573</v>
      </c>
      <c r="D3" s="5" t="s">
        <v>575</v>
      </c>
      <c r="E3" t="s">
        <v>573</v>
      </c>
      <c r="H3" s="5" t="s">
        <v>571</v>
      </c>
      <c r="I3" s="5" t="s">
        <v>569</v>
      </c>
    </row>
    <row r="4" spans="1:16" x14ac:dyDescent="0.25">
      <c r="A4" s="6" t="s">
        <v>39</v>
      </c>
      <c r="B4" s="8">
        <v>3872.9884615384613</v>
      </c>
      <c r="D4" s="6" t="s">
        <v>59</v>
      </c>
      <c r="E4" s="8">
        <v>4017.4552631578936</v>
      </c>
      <c r="H4" s="5" t="s">
        <v>567</v>
      </c>
      <c r="I4" t="s">
        <v>59</v>
      </c>
      <c r="J4" t="s">
        <v>103</v>
      </c>
      <c r="K4" t="s">
        <v>36</v>
      </c>
      <c r="L4" t="s">
        <v>31</v>
      </c>
      <c r="M4" t="s">
        <v>25</v>
      </c>
      <c r="N4" t="s">
        <v>17</v>
      </c>
      <c r="O4" t="s">
        <v>44</v>
      </c>
      <c r="P4" t="s">
        <v>568</v>
      </c>
    </row>
    <row r="5" spans="1:16" x14ac:dyDescent="0.25">
      <c r="A5" s="6" t="s">
        <v>20</v>
      </c>
      <c r="B5" s="8">
        <v>3952.4343243243247</v>
      </c>
      <c r="D5" s="6" t="s">
        <v>103</v>
      </c>
      <c r="E5" s="8">
        <v>3753.185526315789</v>
      </c>
      <c r="H5" s="6" t="s">
        <v>39</v>
      </c>
      <c r="I5" s="8">
        <v>757.987142857143</v>
      </c>
      <c r="J5" s="8">
        <v>725.24799999999993</v>
      </c>
      <c r="K5" s="8">
        <v>543.74833333333333</v>
      </c>
      <c r="L5" s="8">
        <v>858.35500000000002</v>
      </c>
      <c r="M5" s="8">
        <v>561.82888888888886</v>
      </c>
      <c r="N5" s="8">
        <v>761.13692307692315</v>
      </c>
      <c r="O5" s="8">
        <v>702.78416666666681</v>
      </c>
      <c r="P5" s="8">
        <v>715.75659340659342</v>
      </c>
    </row>
    <row r="6" spans="1:16" x14ac:dyDescent="0.25">
      <c r="A6" s="6" t="s">
        <v>27</v>
      </c>
      <c r="B6" s="8">
        <v>4188.0214285714283</v>
      </c>
      <c r="D6" s="6" t="s">
        <v>36</v>
      </c>
      <c r="E6" s="8">
        <v>4265.956666666666</v>
      </c>
      <c r="H6" s="6" t="s">
        <v>20</v>
      </c>
      <c r="I6" s="8">
        <v>754.93999999999994</v>
      </c>
      <c r="J6" s="8">
        <v>740.3057142857142</v>
      </c>
      <c r="K6" s="8">
        <v>745.50555555555559</v>
      </c>
      <c r="L6" s="8">
        <v>671.92133333333345</v>
      </c>
      <c r="M6" s="8">
        <v>741.53444444444449</v>
      </c>
      <c r="N6" s="8">
        <v>954.73874999999998</v>
      </c>
      <c r="O6" s="8">
        <v>715.41846153846154</v>
      </c>
      <c r="P6" s="8">
        <v>748.60662162162157</v>
      </c>
    </row>
    <row r="7" spans="1:16" x14ac:dyDescent="0.25">
      <c r="A7" s="6" t="s">
        <v>56</v>
      </c>
      <c r="B7" s="8">
        <v>3723.4770129870126</v>
      </c>
      <c r="D7" s="6" t="s">
        <v>31</v>
      </c>
      <c r="E7" s="8">
        <v>3957.2872151898741</v>
      </c>
      <c r="H7" s="6" t="s">
        <v>27</v>
      </c>
      <c r="I7" s="8">
        <v>784.29294117647055</v>
      </c>
      <c r="J7" s="8">
        <v>565.4799999999999</v>
      </c>
      <c r="K7" s="8">
        <v>737.48733333333314</v>
      </c>
      <c r="L7" s="8">
        <v>543.0315384615385</v>
      </c>
      <c r="M7" s="8">
        <v>593.56333333333339</v>
      </c>
      <c r="N7" s="8">
        <v>772.63000000000011</v>
      </c>
      <c r="O7" s="8">
        <v>513.13749999999993</v>
      </c>
      <c r="P7" s="8">
        <v>665.62476190476173</v>
      </c>
    </row>
    <row r="8" spans="1:16" x14ac:dyDescent="0.25">
      <c r="A8" s="6" t="s">
        <v>46</v>
      </c>
      <c r="B8" s="8">
        <v>4108.4250000000011</v>
      </c>
      <c r="D8" s="6" t="s">
        <v>25</v>
      </c>
      <c r="E8" s="8">
        <v>3698.6055405405391</v>
      </c>
      <c r="H8" s="6" t="s">
        <v>56</v>
      </c>
      <c r="I8" s="8">
        <v>818.23769230769233</v>
      </c>
      <c r="J8" s="8">
        <v>849.93583333333345</v>
      </c>
      <c r="K8" s="8">
        <v>758.65000000000009</v>
      </c>
      <c r="L8" s="8">
        <v>555.26</v>
      </c>
      <c r="M8" s="8">
        <v>805.88999999999987</v>
      </c>
      <c r="N8" s="8">
        <v>711.34666666666669</v>
      </c>
      <c r="O8" s="8">
        <v>818.28583333333336</v>
      </c>
      <c r="P8" s="8">
        <v>762.18155844155831</v>
      </c>
    </row>
    <row r="9" spans="1:16" x14ac:dyDescent="0.25">
      <c r="A9" s="6" t="s">
        <v>64</v>
      </c>
      <c r="B9" s="8">
        <v>4097.2860714285707</v>
      </c>
      <c r="D9" s="6" t="s">
        <v>17</v>
      </c>
      <c r="E9" s="8">
        <v>4212.8542647058812</v>
      </c>
      <c r="H9" s="6" t="s">
        <v>46</v>
      </c>
      <c r="I9" s="8">
        <v>411.20999999999992</v>
      </c>
      <c r="J9" s="8">
        <v>627.83136363636356</v>
      </c>
      <c r="K9" s="8">
        <v>608.17599999999993</v>
      </c>
      <c r="L9" s="8">
        <v>731.59818181818184</v>
      </c>
      <c r="M9" s="8">
        <v>719.84647058823543</v>
      </c>
      <c r="N9" s="8">
        <v>539.58000000000004</v>
      </c>
      <c r="O9" s="8">
        <v>652.6486666666666</v>
      </c>
      <c r="P9" s="8">
        <v>634.19577777777761</v>
      </c>
    </row>
    <row r="10" spans="1:16" x14ac:dyDescent="0.25">
      <c r="A10" s="6" t="s">
        <v>568</v>
      </c>
      <c r="B10" s="8">
        <v>3994.7078000000006</v>
      </c>
      <c r="D10" s="6" t="s">
        <v>44</v>
      </c>
      <c r="E10" s="8">
        <v>4154.7011428571413</v>
      </c>
      <c r="H10" s="6" t="s">
        <v>64</v>
      </c>
      <c r="I10" s="8">
        <v>705.38071428571425</v>
      </c>
      <c r="J10" s="8">
        <v>603.12461538461525</v>
      </c>
      <c r="K10" s="8">
        <v>467.57750000000004</v>
      </c>
      <c r="L10" s="8">
        <v>837.74818181818182</v>
      </c>
      <c r="M10" s="8">
        <v>711.64928571428572</v>
      </c>
      <c r="N10" s="8">
        <v>763.30285714285696</v>
      </c>
      <c r="O10" s="8">
        <v>860.51700000000005</v>
      </c>
      <c r="P10" s="8">
        <v>713.40833333333342</v>
      </c>
    </row>
    <row r="11" spans="1:16" x14ac:dyDescent="0.25">
      <c r="D11" s="6" t="s">
        <v>568</v>
      </c>
      <c r="E11" s="8">
        <v>3994.7078000000006</v>
      </c>
      <c r="H11" s="6" t="s">
        <v>568</v>
      </c>
      <c r="I11" s="8">
        <v>741.15118421052682</v>
      </c>
      <c r="J11" s="8">
        <v>682.51789473684221</v>
      </c>
      <c r="K11" s="8">
        <v>651.71122807017537</v>
      </c>
      <c r="L11" s="8">
        <v>700.67215189873377</v>
      </c>
      <c r="M11" s="8">
        <v>696.35243243243269</v>
      </c>
      <c r="N11" s="8">
        <v>733.12161764705888</v>
      </c>
      <c r="O11" s="8">
        <v>715.04685714285722</v>
      </c>
      <c r="P11" s="8">
        <v>704.27023999999983</v>
      </c>
    </row>
    <row r="14" spans="1:16" x14ac:dyDescent="0.25">
      <c r="A14" s="5" t="s">
        <v>567</v>
      </c>
      <c r="B14" t="s">
        <v>570</v>
      </c>
      <c r="G14" s="5" t="s">
        <v>567</v>
      </c>
      <c r="H14" t="s">
        <v>572</v>
      </c>
      <c r="J14" s="5" t="s">
        <v>567</v>
      </c>
      <c r="K14" t="s">
        <v>573</v>
      </c>
      <c r="M14" t="s">
        <v>567</v>
      </c>
      <c r="N14" t="s">
        <v>573</v>
      </c>
    </row>
    <row r="15" spans="1:16" x14ac:dyDescent="0.25">
      <c r="A15" s="6">
        <v>2010</v>
      </c>
      <c r="B15" s="8">
        <v>133868.23000000001</v>
      </c>
      <c r="G15" s="6" t="s">
        <v>40</v>
      </c>
      <c r="H15" s="8">
        <v>6967.21</v>
      </c>
      <c r="J15" s="6" t="s">
        <v>70</v>
      </c>
      <c r="K15" s="8">
        <v>3790.1391089108902</v>
      </c>
      <c r="M15" t="s">
        <v>70</v>
      </c>
      <c r="N15">
        <v>3790.1391089108902</v>
      </c>
    </row>
    <row r="16" spans="1:16" x14ac:dyDescent="0.25">
      <c r="A16" s="6">
        <v>2011</v>
      </c>
      <c r="B16" s="8">
        <v>179141.06999999998</v>
      </c>
      <c r="G16" s="6" t="s">
        <v>21</v>
      </c>
      <c r="H16" s="8">
        <v>6968.08</v>
      </c>
      <c r="J16" s="6" t="s">
        <v>23</v>
      </c>
      <c r="K16" s="8">
        <v>4380.9803061224502</v>
      </c>
      <c r="M16" t="s">
        <v>23</v>
      </c>
      <c r="N16">
        <v>4380.9803061224502</v>
      </c>
    </row>
    <row r="17" spans="1:17" x14ac:dyDescent="0.25">
      <c r="A17" s="6">
        <v>2012</v>
      </c>
      <c r="B17" s="8">
        <v>169783.80999999997</v>
      </c>
      <c r="G17" s="6" t="s">
        <v>28</v>
      </c>
      <c r="H17" s="8">
        <v>6990.6</v>
      </c>
      <c r="J17" s="6" t="s">
        <v>52</v>
      </c>
      <c r="K17" s="8">
        <v>3900.6275213675235</v>
      </c>
      <c r="M17" t="s">
        <v>52</v>
      </c>
      <c r="N17">
        <v>3900.6275213675235</v>
      </c>
    </row>
    <row r="18" spans="1:17" x14ac:dyDescent="0.25">
      <c r="A18" s="6">
        <v>2013</v>
      </c>
      <c r="B18" s="8">
        <v>148603.99999999997</v>
      </c>
      <c r="G18" s="6" t="s">
        <v>34</v>
      </c>
      <c r="H18" s="8">
        <v>6975.75</v>
      </c>
      <c r="J18" s="6" t="s">
        <v>42</v>
      </c>
      <c r="K18" s="8">
        <v>3871.3547826086933</v>
      </c>
      <c r="M18" t="s">
        <v>42</v>
      </c>
      <c r="N18">
        <v>3871.3547826086933</v>
      </c>
    </row>
    <row r="19" spans="1:17" x14ac:dyDescent="0.25">
      <c r="A19" s="6">
        <v>2014</v>
      </c>
      <c r="B19" s="8">
        <v>129819.60999999999</v>
      </c>
      <c r="G19" s="6" t="s">
        <v>568</v>
      </c>
      <c r="H19" s="8">
        <v>6990.6</v>
      </c>
      <c r="J19" s="6" t="s">
        <v>61</v>
      </c>
      <c r="K19" s="8">
        <v>4050.8230434782586</v>
      </c>
      <c r="M19" t="s">
        <v>61</v>
      </c>
      <c r="N19">
        <v>4050.8230434782586</v>
      </c>
    </row>
    <row r="20" spans="1:17" x14ac:dyDescent="0.25">
      <c r="A20" s="6">
        <v>2015</v>
      </c>
      <c r="B20" s="8">
        <v>117370.67</v>
      </c>
      <c r="J20" s="6" t="s">
        <v>568</v>
      </c>
      <c r="K20" s="8">
        <v>3994.7078000000006</v>
      </c>
    </row>
    <row r="21" spans="1:17" x14ac:dyDescent="0.25">
      <c r="A21" s="6">
        <v>2016</v>
      </c>
      <c r="B21" s="8">
        <v>138297.00999999998</v>
      </c>
    </row>
    <row r="22" spans="1:17" x14ac:dyDescent="0.25">
      <c r="A22" s="6">
        <v>2017</v>
      </c>
      <c r="B22" s="8">
        <v>167833.86000000002</v>
      </c>
      <c r="G22" s="5" t="s">
        <v>567</v>
      </c>
      <c r="H22" t="s">
        <v>573</v>
      </c>
    </row>
    <row r="23" spans="1:17" x14ac:dyDescent="0.25">
      <c r="A23" s="6">
        <v>2018</v>
      </c>
      <c r="B23" s="8">
        <v>186989.25999999998</v>
      </c>
      <c r="G23" s="6" t="s">
        <v>29</v>
      </c>
      <c r="H23" s="8">
        <v>4333.2847872340417</v>
      </c>
    </row>
    <row r="24" spans="1:17" x14ac:dyDescent="0.25">
      <c r="A24" s="6">
        <v>2019</v>
      </c>
      <c r="B24" s="8">
        <v>142396.07999999999</v>
      </c>
      <c r="G24" s="6" t="s">
        <v>41</v>
      </c>
      <c r="H24" s="8">
        <v>4132.3548387096789</v>
      </c>
    </row>
    <row r="25" spans="1:17" x14ac:dyDescent="0.25">
      <c r="A25" s="6">
        <v>2020</v>
      </c>
      <c r="B25" s="8">
        <v>155167.77999999997</v>
      </c>
      <c r="G25" s="6" t="s">
        <v>49</v>
      </c>
      <c r="H25" s="8">
        <v>3940.1907619047593</v>
      </c>
    </row>
    <row r="26" spans="1:17" x14ac:dyDescent="0.25">
      <c r="A26" s="6">
        <v>2021</v>
      </c>
      <c r="B26" s="8">
        <v>152396.28</v>
      </c>
      <c r="G26" s="6" t="s">
        <v>22</v>
      </c>
      <c r="H26" s="8">
        <v>3709.2354629629644</v>
      </c>
    </row>
    <row r="27" spans="1:17" x14ac:dyDescent="0.25">
      <c r="A27" s="6">
        <v>2022</v>
      </c>
      <c r="B27" s="8">
        <v>150200.81</v>
      </c>
      <c r="G27" s="6" t="s">
        <v>47</v>
      </c>
      <c r="H27" s="8">
        <v>3913.9866999999995</v>
      </c>
    </row>
    <row r="28" spans="1:17" x14ac:dyDescent="0.25">
      <c r="A28" s="6" t="s">
        <v>568</v>
      </c>
      <c r="B28" s="8">
        <v>1971868.4700000002</v>
      </c>
      <c r="G28" s="6" t="s">
        <v>568</v>
      </c>
      <c r="H28" s="8">
        <v>3994.707800000001</v>
      </c>
      <c r="J28" s="5" t="s">
        <v>567</v>
      </c>
      <c r="K28" t="s">
        <v>576</v>
      </c>
      <c r="O28" t="s">
        <v>576</v>
      </c>
    </row>
    <row r="29" spans="1:17" x14ac:dyDescent="0.25">
      <c r="J29" s="6" t="s">
        <v>59</v>
      </c>
      <c r="K29">
        <v>16357.74</v>
      </c>
      <c r="O29">
        <v>98359.429999999891</v>
      </c>
      <c r="Q29">
        <f>GETPIVOTDATA("Production (Tonnes)",$O$28)</f>
        <v>98359.429999999891</v>
      </c>
    </row>
    <row r="30" spans="1:17" x14ac:dyDescent="0.25">
      <c r="J30" s="6" t="s">
        <v>103</v>
      </c>
      <c r="K30">
        <v>14277.880000000001</v>
      </c>
    </row>
    <row r="31" spans="1:17" x14ac:dyDescent="0.25">
      <c r="J31" s="6" t="s">
        <v>36</v>
      </c>
      <c r="K31">
        <v>9664.2300000000014</v>
      </c>
    </row>
    <row r="32" spans="1:17" x14ac:dyDescent="0.25">
      <c r="J32" s="6" t="s">
        <v>31</v>
      </c>
      <c r="K32">
        <v>15881.100000000002</v>
      </c>
    </row>
    <row r="33" spans="4:11" x14ac:dyDescent="0.25">
      <c r="J33" s="6" t="s">
        <v>25</v>
      </c>
      <c r="K33">
        <v>13679.020000000004</v>
      </c>
    </row>
    <row r="34" spans="4:11" x14ac:dyDescent="0.25">
      <c r="D34" s="5" t="s">
        <v>574</v>
      </c>
      <c r="E34" s="5" t="s">
        <v>569</v>
      </c>
      <c r="J34" s="6" t="s">
        <v>17</v>
      </c>
      <c r="K34">
        <v>13872.669999999993</v>
      </c>
    </row>
    <row r="35" spans="4:11" x14ac:dyDescent="0.25">
      <c r="D35" s="5" t="s">
        <v>567</v>
      </c>
      <c r="E35" t="s">
        <v>33</v>
      </c>
      <c r="F35" t="s">
        <v>38</v>
      </c>
      <c r="G35" t="s">
        <v>19</v>
      </c>
      <c r="H35" t="s">
        <v>568</v>
      </c>
      <c r="J35" s="6" t="s">
        <v>44</v>
      </c>
      <c r="K35">
        <v>14626.789999999997</v>
      </c>
    </row>
    <row r="36" spans="4:11" x14ac:dyDescent="0.25">
      <c r="D36" s="6" t="s">
        <v>40</v>
      </c>
      <c r="E36" s="8">
        <v>179.17303030303029</v>
      </c>
      <c r="F36" s="8">
        <v>212.28230769230774</v>
      </c>
      <c r="G36" s="8">
        <v>179.4347619047619</v>
      </c>
      <c r="H36" s="8">
        <v>190.59631578947369</v>
      </c>
      <c r="J36" s="6" t="s">
        <v>568</v>
      </c>
      <c r="K36">
        <v>98359.430000000008</v>
      </c>
    </row>
    <row r="37" spans="4:11" x14ac:dyDescent="0.25">
      <c r="D37" s="6" t="s">
        <v>21</v>
      </c>
      <c r="E37" s="8">
        <v>175.76444444444439</v>
      </c>
      <c r="F37" s="8">
        <v>237.44387755102036</v>
      </c>
      <c r="G37" s="8">
        <v>187.88531249999994</v>
      </c>
      <c r="H37" s="8">
        <v>204.91111111111107</v>
      </c>
    </row>
    <row r="38" spans="4:11" x14ac:dyDescent="0.25">
      <c r="D38" s="6" t="s">
        <v>28</v>
      </c>
      <c r="E38" s="8">
        <v>231.94243243243241</v>
      </c>
      <c r="F38" s="8">
        <v>220.27468085106372</v>
      </c>
      <c r="G38" s="8">
        <v>179.20799999999997</v>
      </c>
      <c r="H38" s="8">
        <v>209.2956589147287</v>
      </c>
    </row>
    <row r="39" spans="4:11" x14ac:dyDescent="0.25">
      <c r="D39" s="6" t="s">
        <v>34</v>
      </c>
      <c r="E39" s="8">
        <v>205.80469387755102</v>
      </c>
      <c r="F39" s="8">
        <v>153.64351351351351</v>
      </c>
      <c r="G39" s="8">
        <v>183.11981481481482</v>
      </c>
      <c r="H39" s="8">
        <v>183.26935714285725</v>
      </c>
    </row>
    <row r="40" spans="4:11" x14ac:dyDescent="0.25">
      <c r="D40" s="6" t="s">
        <v>568</v>
      </c>
      <c r="E40" s="8">
        <v>199.39696774193544</v>
      </c>
      <c r="F40" s="8">
        <v>209.02023255813955</v>
      </c>
      <c r="G40" s="8">
        <v>182.08913294797696</v>
      </c>
      <c r="H40" s="8">
        <v>196.71886000000003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Agricultural_Crop_Yield</vt:lpstr>
      <vt:lpstr>Dashboard</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KORA KASI OBUL REDDY</cp:lastModifiedBy>
  <cp:lastPrinted>2025-11-30T14:12:22Z</cp:lastPrinted>
  <dcterms:modified xsi:type="dcterms:W3CDTF">2025-12-05T10:59:42Z</dcterms:modified>
</cp:coreProperties>
</file>